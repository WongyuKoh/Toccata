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입항목" sheetId="1" state="visible" r:id="rId1"/>
  </sheets>
  <definedNames>
    <definedName name="_xlnm.Print_Titles" localSheetId="0">'구입항목'!$4:$4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\원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ple SD Gothic Neo"/>
      <charset val="1"/>
      <family val="0"/>
      <b val="1"/>
      <color rgb="FF0B3B4F"/>
      <sz val="16"/>
    </font>
    <font>
      <name val="Apple SD Gothic Neo"/>
      <charset val="1"/>
      <family val="0"/>
      <color rgb="FF5A6B75"/>
      <sz val="10"/>
    </font>
    <font>
      <name val="Apple SD Gothic Neo"/>
      <charset val="1"/>
      <family val="0"/>
      <b val="1"/>
      <color rgb="FFFFFFFF"/>
      <sz val="11"/>
    </font>
    <font>
      <name val="Apple SD Gothic Neo"/>
      <charset val="1"/>
      <family val="0"/>
      <b val="1"/>
      <color rgb="FF0B3B4F"/>
      <sz val="12"/>
    </font>
    <font>
      <name val="Apple SD Gothic Neo"/>
      <charset val="1"/>
      <family val="0"/>
      <sz val="11"/>
    </font>
    <font>
      <name val="Apple SD Gothic Neo"/>
      <charset val="1"/>
      <family val="0"/>
      <color rgb="FF0000FF"/>
      <sz val="11"/>
    </font>
    <font>
      <name val="Apple SD Gothic Neo"/>
      <charset val="1"/>
      <family val="0"/>
      <color rgb="FF0563C1"/>
      <sz val="10.5"/>
      <u val="single"/>
    </font>
    <font>
      <name val="Apple SD Gothic Neo"/>
      <charset val="1"/>
      <family val="0"/>
      <color rgb="FF5A6B75"/>
      <sz val="10.5"/>
    </font>
    <font>
      <name val="Apple SD Gothic Neo"/>
      <charset val="1"/>
      <family val="0"/>
      <b val="1"/>
      <sz val="11"/>
    </font>
    <font>
      <name val="Apple SD Gothic Neo"/>
      <charset val="1"/>
      <family val="0"/>
      <b val="1"/>
      <color rgb="FFFFFFFF"/>
      <sz val="14"/>
    </font>
    <font>
      <name val="Apple SD Gothic Neo"/>
      <charset val="1"/>
      <family val="0"/>
      <color rgb="FFFFFFFF"/>
      <sz val="10.5"/>
    </font>
  </fonts>
  <fills count="4">
    <fill>
      <patternFill/>
    </fill>
    <fill>
      <patternFill patternType="gray125"/>
    </fill>
    <fill>
      <patternFill patternType="solid">
        <fgColor rgb="FF0B6584"/>
        <bgColor rgb="FF0563C1"/>
      </patternFill>
    </fill>
    <fill>
      <patternFill patternType="solid">
        <fgColor rgb="FFE7EEF2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3"/>
      </bottom>
      <diagonal/>
    </border>
    <border>
      <left/>
      <right/>
      <top style="thin">
        <color rgb="FF5A6B75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center"/>
    </xf>
    <xf numFmtId="0" fontId="8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center"/>
    </xf>
    <xf numFmtId="0" fontId="5" fillId="3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left" vertical="center" wrapText="1"/>
    </xf>
    <xf numFmtId="164" fontId="9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general" vertical="bottom"/>
    </xf>
    <xf numFmtId="164" fontId="12" fillId="0" borderId="2" applyAlignment="1" pivotButton="0" quotePrefix="0" xfId="0">
      <alignment horizontal="right" vertical="center"/>
    </xf>
    <xf numFmtId="0" fontId="12" fillId="3" borderId="0" applyAlignment="1" pivotButton="0" quotePrefix="0" xfId="0">
      <alignment horizontal="right" vertical="center"/>
    </xf>
    <xf numFmtId="164" fontId="12" fillId="3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general" vertical="bottom"/>
    </xf>
    <xf numFmtId="164" fontId="13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center"/>
    </xf>
    <xf numFmtId="0" fontId="8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center"/>
    </xf>
    <xf numFmtId="0" fontId="5" fillId="3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left" vertical="center" wrapText="1"/>
    </xf>
    <xf numFmtId="164" fontId="9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general" vertical="bottom"/>
    </xf>
    <xf numFmtId="164" fontId="12" fillId="0" borderId="2" applyAlignment="1" pivotButton="0" quotePrefix="0" xfId="0">
      <alignment horizontal="right" vertical="center"/>
    </xf>
    <xf numFmtId="0" fontId="12" fillId="3" borderId="0" applyAlignment="1" pivotButton="0" quotePrefix="0" xfId="0">
      <alignment horizontal="right" vertical="center"/>
    </xf>
    <xf numFmtId="164" fontId="12" fillId="3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general" vertical="bottom"/>
    </xf>
    <xf numFmtId="164" fontId="13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6584"/>
      <rgbColor rgb="FFB7C9D3"/>
      <rgbColor rgb="FF808080"/>
      <rgbColor rgb="FF9999FF"/>
      <rgbColor rgb="FF993366"/>
      <rgbColor rgb="FFFFFFCC"/>
      <rgbColor rgb="FFE7EE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B75"/>
      <rgbColor rgb="FF969696"/>
      <rgbColor rgb="FF0B3B4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icbanq.com/P018076669" TargetMode="External" Id="rId1"/><Relationship Type="http://schemas.openxmlformats.org/officeDocument/2006/relationships/hyperlink" Target="https://www.icbanq.com/P015973844" TargetMode="External" Id="rId2"/><Relationship Type="http://schemas.openxmlformats.org/officeDocument/2006/relationships/hyperlink" Target="https://www.icbanq.com/P015971543" TargetMode="External" Id="rId3"/><Relationship Type="http://schemas.openxmlformats.org/officeDocument/2006/relationships/hyperlink" Target="https://www.icbanq.com/P014159115" TargetMode="External" Id="rId4"/><Relationship Type="http://schemas.openxmlformats.org/officeDocument/2006/relationships/hyperlink" Target="https://www.icbanq.com/P011433924" TargetMode="External" Id="rId5"/><Relationship Type="http://schemas.openxmlformats.org/officeDocument/2006/relationships/hyperlink" Target="https://www.coupang.com/vp/products/181380607?vendorItemId=4341984346" TargetMode="External" Id="rId6"/><Relationship Type="http://schemas.openxmlformats.org/officeDocument/2006/relationships/hyperlink" Target="https://www.coupang.com/vp/products/7839505281?vendorItemId=90922897918" TargetMode="External" Id="rId7"/><Relationship Type="http://schemas.openxmlformats.org/officeDocument/2006/relationships/hyperlink" Target="https://www.coupang.com/vp/products/169628214?vendorItemId=90711442678" TargetMode="External" Id="rId8"/><Relationship Type="http://schemas.openxmlformats.org/officeDocument/2006/relationships/hyperlink" Target="https://www.coupang.com/vp/products/7589411879?vendorItemId=87148299583" TargetMode="External" Id="rId9"/><Relationship Type="http://schemas.openxmlformats.org/officeDocument/2006/relationships/hyperlink" Target="https://www.eleparts.co.kr/goods/view?no=2675965" TargetMode="External" Id="rId10"/><Relationship Type="http://schemas.openxmlformats.org/officeDocument/2006/relationships/hyperlink" Target="https://www.eleparts.co.kr/goods/view?no=425" TargetMode="External" Id="rId11"/><Relationship Type="http://schemas.openxmlformats.org/officeDocument/2006/relationships/hyperlink" Target="https://www.eleparts.co.kr/goods/view?no=2925651" TargetMode="External" Id="rId12"/><Relationship Type="http://schemas.openxmlformats.org/officeDocument/2006/relationships/hyperlink" Target="https://www.eleparts.co.kr/goods/view?no=2925651" TargetMode="External" Id="rId13"/><Relationship Type="http://schemas.openxmlformats.org/officeDocument/2006/relationships/hyperlink" Target="https://www.eleparts.co.kr/goods/view?no=425" TargetMode="External" Id="rId14"/><Relationship Type="http://schemas.openxmlformats.org/officeDocument/2006/relationships/hyperlink" Target="https://www.eleparts.co.kr/goods/view?no=12816289" TargetMode="External" Id="rId15"/><Relationship Type="http://schemas.openxmlformats.org/officeDocument/2006/relationships/hyperlink" Target="https://www.eleparts.co.kr/goods/view?no=19324904" TargetMode="External" Id="rId16"/><Relationship Type="http://schemas.openxmlformats.org/officeDocument/2006/relationships/hyperlink" Target="https://www.coupang.com/vp/products/130058387?vendorItemId=3929147929" TargetMode="External" Id="rId17"/><Relationship Type="http://schemas.openxmlformats.org/officeDocument/2006/relationships/hyperlink" Target="https://www.coupang.com/vp/products/6627385385?vendorItemId=82316320569" TargetMode="External" Id="rId18"/><Relationship Type="http://schemas.openxmlformats.org/officeDocument/2006/relationships/hyperlink" Target="https://www.coupang.com/vp/products/7575965502?vendorItemId=87087416424" TargetMode="External" Id="rId19"/><Relationship Type="http://schemas.openxmlformats.org/officeDocument/2006/relationships/hyperlink" Target="https://www.coupang.com/vp/products/7575965502?vendorItemId=87087416424" TargetMode="External" Id="rId20"/><Relationship Type="http://schemas.openxmlformats.org/officeDocument/2006/relationships/hyperlink" Target="https://www.devicemart.co.kr/goods/view?no=16080883" TargetMode="External" Id="rId21"/><Relationship Type="http://schemas.openxmlformats.org/officeDocument/2006/relationships/hyperlink" Target="https://www.devicemart.co.kr/goods/view?no=10912779" TargetMode="External" Id="rId22"/><Relationship Type="http://schemas.openxmlformats.org/officeDocument/2006/relationships/hyperlink" Target="https://www.devicemart.co.kr/goods/view?no=10912479" TargetMode="External" Id="rId23"/><Relationship Type="http://schemas.openxmlformats.org/officeDocument/2006/relationships/hyperlink" Target="https://www.devicemart.co.kr/goods/view?no=10912781" TargetMode="External" Id="rId24"/><Relationship Type="http://schemas.openxmlformats.org/officeDocument/2006/relationships/hyperlink" Target="https://www.devicemart.co.kr/goods/view?no=2674" TargetMode="External" Id="rId25"/><Relationship Type="http://schemas.openxmlformats.org/officeDocument/2006/relationships/hyperlink" Target="https://www.devicemart.co.kr/goods/view?no=10911806" TargetMode="External" Id="rId26"/><Relationship Type="http://schemas.openxmlformats.org/officeDocument/2006/relationships/hyperlink" Target="https://www.devicemart.co.kr/goods/view?no=10912759" TargetMode="External" Id="rId27"/><Relationship Type="http://schemas.openxmlformats.org/officeDocument/2006/relationships/hyperlink" Target="https://www.devicemart.co.kr/goods/view?no=14991278" TargetMode="External" Id="rId28"/><Relationship Type="http://schemas.openxmlformats.org/officeDocument/2006/relationships/hyperlink" Target="https://www.coupang.com/vp/products/8243268767?vendorItemId=90747166966" TargetMode="External" Id="rId29"/><Relationship Type="http://schemas.openxmlformats.org/officeDocument/2006/relationships/hyperlink" Target="https://www.allsteelshop.com/product/squareplate/9t" TargetMode="External" Id="rId30"/><Relationship Type="http://schemas.openxmlformats.org/officeDocument/2006/relationships/hyperlink" Target="https://parts-parts.co.kr/product/detail.html?product_no=2383" TargetMode="External" Id="rId31"/><Relationship Type="http://schemas.openxmlformats.org/officeDocument/2006/relationships/hyperlink" Target="https://parts-parts.co.kr/product/detail.html?product_no=303" TargetMode="External" Id="rId32"/><Relationship Type="http://schemas.openxmlformats.org/officeDocument/2006/relationships/hyperlink" Target="https://kr.misumi-ec.com/vona2/detail/110310556289/?HissuCode=C-UA90R5-3-0.5" TargetMode="External" Id="rId33"/><Relationship Type="http://schemas.openxmlformats.org/officeDocument/2006/relationships/hyperlink" Target="https://www.navimro.com/g/1029233/" TargetMode="External" Id="rId34"/><Relationship Type="http://schemas.openxmlformats.org/officeDocument/2006/relationships/hyperlink" Target="https://www.navimro.com/g/1028764/" TargetMode="External" Id="rId35"/><Relationship Type="http://schemas.openxmlformats.org/officeDocument/2006/relationships/hyperlink" Target="https://www.navimro.com/g/37021/" TargetMode="External" Id="rId36"/><Relationship Type="http://schemas.openxmlformats.org/officeDocument/2006/relationships/hyperlink" Target="https://www.nasakorea.com/goods/goods_view.php?goodsNo=6009" TargetMode="External" Id="rId37"/><Relationship Type="http://schemas.openxmlformats.org/officeDocument/2006/relationships/hyperlink" Target="https://nasakorea.com/goods/goods_view.php?goodsNo=6090" TargetMode="External" Id="rId38"/><Relationship Type="http://schemas.openxmlformats.org/officeDocument/2006/relationships/hyperlink" Target="https://studiobunt.com/product/detail.html?product_no=4117" TargetMode="External" Id="rId39"/><Relationship Type="http://schemas.openxmlformats.org/officeDocument/2006/relationships/hyperlink" Target="https://www.11st.co.kr/products/7591566666" TargetMode="External" Id="rId40"/><Relationship Type="http://schemas.openxmlformats.org/officeDocument/2006/relationships/hyperlink" Target="https://www.11st.co.kr/products/8517880969" TargetMode="External" Id="rId41"/><Relationship Type="http://schemas.openxmlformats.org/officeDocument/2006/relationships/hyperlink" Target="https://dgmagnet.com/product/&#52488;&#44053;&#47141;-&#45348;&#50724;&#46356;&#50880;-&#50896;&#54805;&#51088;&#49437;-5mm/13/" TargetMode="External" Id="rId42"/><Relationship Type="http://schemas.openxmlformats.org/officeDocument/2006/relationships/hyperlink" Target="https://www.11st.co.kr/products/9579455646" TargetMode="External" Id="rId43"/><Relationship Type="http://schemas.openxmlformats.org/officeDocument/2006/relationships/hyperlink" Target="https://www.coupang.com/vp/products/8826157891?vendorItemId=92708146513" TargetMode="External" Id="rId44"/><Relationship Type="http://schemas.openxmlformats.org/officeDocument/2006/relationships/hyperlink" Target="https://www.eleparts.co.kr/goods/view?no=4313490" TargetMode="External" Id="rId45"/><Relationship Type="http://schemas.openxmlformats.org/officeDocument/2006/relationships/hyperlink" Target="https://www.eleparts.co.kr/goods/view?no=12185313" TargetMode="External" Id="rId46"/><Relationship Type="http://schemas.openxmlformats.org/officeDocument/2006/relationships/hyperlink" Target="https://ko.aliexpress.com/item/1005012020918299.html" TargetMode="External" Id="rId47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16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6" customWidth="1" style="27" min="1" max="1"/>
    <col width="13" customWidth="1" style="27" min="2" max="2"/>
    <col width="8" customWidth="1" style="27" min="3" max="3"/>
    <col width="15" customWidth="1" style="27" min="4" max="4"/>
    <col width="48" customWidth="1" style="27" min="5" max="5"/>
    <col width="46" customWidth="1" style="27" min="6" max="6"/>
  </cols>
  <sheetData>
    <row r="1" ht="27.75" customHeight="1" s="28">
      <c r="A1" s="29" t="inlineStr">
        <is>
          <t>Toccata 구입 항목 정리표 (최종)</t>
        </is>
      </c>
    </row>
    <row r="2" ht="30" customHeight="1" s="28">
      <c r="A2" s="30" t="inlineStr">
        <is>
          <t>2026-10-08 정리 · 10/14 고침(USB 선 8가닥 사비 추가, 텅스텐 22 g, JST → 엘레파츠·100 nF → 디바이스마트 학교 주문, 터치스크린 알리 사비 구매) · 최종 재료 페이지에서 고른 그대로(가진 부품·공구 빼고, 예비 최소, 판매처 묶기·무료배송 맞추기 반영) · 단가는 VAT 포함 확인값이라 주문 전에 다시 확인 · 파란 글씨(단가·갯수)를 고치면 금액·배송비·합계가 다시 계산됩니다 · 10/16 고침(합판·목공본드 뺌 — 뒷바 판을 모두 PETG로 출력, A안) · 같은 날 검정 PETG 4 kg(사비)·세메다인 1개(학교) 추가</t>
        </is>
      </c>
    </row>
    <row r="3" s="28"/>
    <row r="4" ht="24.75" customHeight="1" s="28">
      <c r="A4" s="31" t="inlineStr">
        <is>
          <t>품목</t>
        </is>
      </c>
      <c r="B4" s="31" t="inlineStr">
        <is>
          <t>단가</t>
        </is>
      </c>
      <c r="C4" s="31" t="inlineStr">
        <is>
          <t>갯수</t>
        </is>
      </c>
      <c r="D4" s="31" t="inlineStr">
        <is>
          <t>금액</t>
        </is>
      </c>
      <c r="E4" s="31" t="inlineStr">
        <is>
          <t>사이트 링크</t>
        </is>
      </c>
      <c r="F4" s="31" t="inlineStr">
        <is>
          <t>비고</t>
        </is>
      </c>
    </row>
    <row r="5" s="28"/>
    <row r="6" ht="15" customHeight="1" s="28">
      <c r="A6" s="32" t="inlineStr">
        <is>
          <t>■ 학교 지원 주문 — 디바이스마트·엘레파츠·아이씨뱅큐·쿠팡, 물건값 200,000원 이내 (따로 결제, 배송비는 학교가 내고 한도에 넣지 않음)</t>
        </is>
      </c>
    </row>
    <row r="7" ht="24" customHeight="1" s="28">
      <c r="A7" s="33" t="inlineStr">
        <is>
          <t>1. 아이씨뱅큐  (icbanq.com) · 학교 지원</t>
        </is>
      </c>
      <c r="B7" s="34" t="n"/>
      <c r="C7" s="34" t="n"/>
      <c r="D7" s="34" t="n"/>
      <c r="E7" s="35" t="inlineStr">
        <is>
          <t>5품목 · 배송비 2,700원 · 55,000원 이상 무료</t>
        </is>
      </c>
      <c r="F7" s="36" t="inlineStr">
        <is>
          <t>학교 지원 주문 — 사비 주문과 따로 결제 (배송비는 학교, 20만 원 한도 밖) · Adafruit·AOFENG 줄에 배송비가 따로 붙는지 장바구니에서 확인</t>
        </is>
      </c>
    </row>
    <row r="8" ht="25.35" customHeight="1" s="28">
      <c r="A8" s="37" t="inlineStr">
        <is>
          <t>홀센서 TI DRV5055A2QLPG</t>
        </is>
      </c>
      <c r="B8" s="38" t="n">
        <v>891</v>
      </c>
      <c r="C8" s="39" t="n">
        <v>100</v>
      </c>
      <c r="D8" s="40">
        <f>B8*C8</f>
        <v/>
      </c>
      <c r="E8" s="41" t="inlineStr">
        <is>
          <t>icbanq.com/P018076669</t>
        </is>
      </c>
      <c r="F8" s="42" t="inlineStr">
        <is>
          <t>100개부터 구간 단가 891원 (89개 사용 + 예비, 89개만 사면 더 비쌈)</t>
        </is>
      </c>
    </row>
    <row r="9" ht="15" customHeight="1" s="28">
      <c r="A9" s="37" t="inlineStr">
        <is>
          <t>캡스턴 나사 M3×6 버튼헤드 SUS304</t>
        </is>
      </c>
      <c r="B9" s="38" t="n">
        <v>11</v>
      </c>
      <c r="C9" s="39" t="n">
        <v>100</v>
      </c>
      <c r="D9" s="40">
        <f>B9*C9</f>
        <v/>
      </c>
      <c r="E9" s="41" t="inlineStr">
        <is>
          <t>icbanq.com/P015973844</t>
        </is>
      </c>
      <c r="F9" s="42" t="inlineStr">
        <is>
          <t>최소 주문 100개</t>
        </is>
      </c>
    </row>
    <row r="10" ht="15" customHeight="1" s="28">
      <c r="A10" s="37" t="inlineStr">
        <is>
          <t>스텐 렌치볼트 M2.5 × 6 — 50개 봉 (Pi 4 + 화면 4)</t>
        </is>
      </c>
      <c r="B10" s="38" t="n">
        <v>11</v>
      </c>
      <c r="C10" s="39" t="n">
        <v>50</v>
      </c>
      <c r="D10" s="40">
        <f>B10*C10</f>
        <v/>
      </c>
      <c r="E10" s="41" t="inlineStr">
        <is>
          <t>icbanq.com/P015971543</t>
        </is>
      </c>
      <c r="F10" s="42" t="inlineStr">
        <is>
          <t>50개 단위(구매 수량 단위). Pi 4 + 화면 4(i210)</t>
        </is>
      </c>
    </row>
    <row r="11" ht="15" customHeight="1" s="28">
      <c r="A11" s="37" t="inlineStr">
        <is>
          <t>1 µF 적층 세라믹 콘덴서 50 V</t>
        </is>
      </c>
      <c r="B11" s="38" t="n">
        <v>133</v>
      </c>
      <c r="C11" s="39" t="n">
        <v>4</v>
      </c>
      <c r="D11" s="40">
        <f>B11*C11</f>
        <v/>
      </c>
      <c r="E11" s="41" t="inlineStr">
        <is>
          <t>icbanq.com/P014159115</t>
        </is>
      </c>
      <c r="F11" s="42" t="n"/>
    </row>
    <row r="12" ht="15" customHeight="1" s="28">
      <c r="A12" s="37" t="inlineStr">
        <is>
          <t>1 kΩ 1206 칩 저항 (Yageo)</t>
        </is>
      </c>
      <c r="B12" s="38" t="n">
        <v>44</v>
      </c>
      <c r="C12" s="39" t="n">
        <v>10</v>
      </c>
      <c r="D12" s="40">
        <f>B12*C12</f>
        <v/>
      </c>
      <c r="E12" s="41" t="inlineStr">
        <is>
          <t>icbanq.com/P011433924</t>
        </is>
      </c>
      <c r="F12" s="42" t="inlineStr">
        <is>
          <t>10개 단위</t>
        </is>
      </c>
    </row>
    <row r="13" ht="15" customHeight="1" s="28">
      <c r="A13" s="43" t="inlineStr">
        <is>
          <t>배송비</t>
        </is>
      </c>
      <c r="D13" s="44">
        <f>IF(SUM(D8:D12)&gt;=55000,0,2700)</f>
        <v/>
      </c>
    </row>
    <row r="14" ht="15" customHeight="1" s="28">
      <c r="A14" s="45" t="inlineStr">
        <is>
          <t>아이씨뱅큐 소계 (물건값 + 배송비)</t>
        </is>
      </c>
      <c r="B14" s="46" t="n"/>
      <c r="C14" s="46" t="n"/>
      <c r="D14" s="47">
        <f>SUM(D8:D12)+D13</f>
        <v/>
      </c>
      <c r="E14" s="46" t="n"/>
      <c r="F14" s="46" t="n"/>
    </row>
    <row r="15" s="28"/>
    <row r="16" ht="24" customHeight="1" s="28">
      <c r="A16" s="33" t="inlineStr">
        <is>
          <t>2. 쿠팡 · 삼미 CW-100B25 판매자  (coupang.com) · 학교 지원</t>
        </is>
      </c>
      <c r="B16" s="34" t="n"/>
      <c r="C16" s="34" t="n"/>
      <c r="D16" s="34" t="n"/>
      <c r="E16" s="35" t="inlineStr">
        <is>
          <t>1품목 · 배송비 4,000원 (무료 조건 없음)</t>
        </is>
      </c>
      <c r="F16" s="36" t="inlineStr">
        <is>
          <t>학교 지원 주문 — 사비 주문과 따로 결제 (배송비는 학교, 20만 원 한도 밖)</t>
        </is>
      </c>
    </row>
    <row r="17" ht="15" customHeight="1" s="28">
      <c r="A17" s="37" t="inlineStr">
        <is>
          <t>삼미 CW-100B25 4인치 스피커 8 Ω</t>
        </is>
      </c>
      <c r="B17" s="38" t="n">
        <v>8500</v>
      </c>
      <c r="C17" s="39" t="n">
        <v>2</v>
      </c>
      <c r="D17" s="40">
        <f>B17*C17</f>
        <v/>
      </c>
      <c r="E17" s="41" t="inlineStr">
        <is>
          <t>coupang.com/vp/products/181380607?vendorItemI…</t>
        </is>
      </c>
      <c r="F17" s="42" t="inlineStr">
        <is>
          <t>같은 CW-100B25</t>
        </is>
      </c>
    </row>
    <row r="18" ht="15" customHeight="1" s="28">
      <c r="A18" s="43" t="inlineStr">
        <is>
          <t>배송비</t>
        </is>
      </c>
      <c r="D18" s="44" t="n">
        <v>4000</v>
      </c>
    </row>
    <row r="19" ht="15" customHeight="1" s="28">
      <c r="A19" s="45" t="inlineStr">
        <is>
          <t>쿠팡 소계 (물건값 + 배송비)</t>
        </is>
      </c>
      <c r="B19" s="46" t="n"/>
      <c r="C19" s="46" t="n"/>
      <c r="D19" s="47">
        <f>SUM(D17)+D18</f>
        <v/>
      </c>
      <c r="E19" s="46" t="n"/>
      <c r="F19" s="46" t="n"/>
    </row>
    <row r="20" s="28"/>
    <row r="21" ht="24" customHeight="1" s="28">
      <c r="A21" s="33" t="inlineStr">
        <is>
          <t>3. 쿠팡 · 세메다인 판매자  (coupang.com) · 학교 지원</t>
        </is>
      </c>
      <c r="B21" s="34" t="n"/>
      <c r="C21" s="34" t="n"/>
      <c r="D21" s="34" t="n"/>
      <c r="E21" s="35" t="inlineStr">
        <is>
          <t>1품목 · 배송비 3,000원 (무료 조건 없음)</t>
        </is>
      </c>
      <c r="F21" s="36" t="inlineStr">
        <is>
          <t>학교 지원 주문 — 사비 주문과 따로 결제 (배송비는 학교, 20만 원 한도 밖)</t>
        </is>
      </c>
    </row>
    <row r="22" ht="15" customHeight="1" s="28">
      <c r="A22" s="37" t="inlineStr">
        <is>
          <t>세메다인 슈퍼X 8008 흑색 20 mL (MS 폴리머)</t>
        </is>
      </c>
      <c r="B22" s="38" t="n">
        <v>8000</v>
      </c>
      <c r="C22" s="39" t="n">
        <v>3</v>
      </c>
      <c r="D22" s="40">
        <f>B22*C22</f>
        <v/>
      </c>
      <c r="E22" s="41" t="inlineStr">
        <is>
          <t>coupang.com/vp/products/7839505281?vendorItem…</t>
        </is>
      </c>
      <c r="F22" s="42" t="inlineStr">
        <is>
          <t>흑색 (백색과 같은 8008) · 10/16 A안: 판 이음용으로 1개 더 (3개)</t>
        </is>
      </c>
    </row>
    <row r="23" ht="15" customHeight="1" s="28">
      <c r="A23" s="43" t="inlineStr">
        <is>
          <t>배송비</t>
        </is>
      </c>
      <c r="D23" s="44" t="n">
        <v>3000</v>
      </c>
    </row>
    <row r="24" ht="15" customHeight="1" s="28">
      <c r="A24" s="45" t="inlineStr">
        <is>
          <t>쿠팡 소계 (물건값 + 배송비)</t>
        </is>
      </c>
      <c r="B24" s="46" t="n"/>
      <c r="C24" s="46" t="n"/>
      <c r="D24" s="47">
        <f>SUM(D22)+D23</f>
        <v/>
      </c>
      <c r="E24" s="46" t="n"/>
      <c r="F24" s="46" t="n"/>
    </row>
    <row r="25" s="28"/>
    <row r="26" ht="24" customHeight="1" s="28">
      <c r="A26" s="33" t="inlineStr">
        <is>
          <t>4. 쿠팡 로켓배송  (coupang.com) · 학교 지원</t>
        </is>
      </c>
      <c r="B26" s="34" t="n"/>
      <c r="C26" s="34" t="n"/>
      <c r="D26" s="34" t="n"/>
      <c r="E26" s="35" t="inlineStr">
        <is>
          <t>2품목 · 무료배송</t>
        </is>
      </c>
      <c r="F26" s="36" t="inlineStr">
        <is>
          <t>학교 지원 주문 — 사비 주문과 따로 결제 (배송비는 학교, 20만 원 한도 밖)</t>
        </is>
      </c>
    </row>
    <row r="27" ht="15" customHeight="1" s="28">
      <c r="A27" s="37" t="inlineStr">
        <is>
          <t>Apple USB-C 헤드폰 어댑터</t>
        </is>
      </c>
      <c r="B27" s="38" t="n">
        <v>14260</v>
      </c>
      <c r="C27" s="39" t="n">
        <v>1</v>
      </c>
      <c r="D27" s="40">
        <f>B27*C27</f>
        <v/>
      </c>
      <c r="E27" s="41" t="inlineStr">
        <is>
          <t>coupang.com/vp/products/169628214?vendorItemI…</t>
        </is>
      </c>
      <c r="F27" s="42" t="inlineStr">
        <is>
          <t>쿠팡 로켓 MW2Q3KH/A</t>
        </is>
      </c>
    </row>
    <row r="28" ht="15" customHeight="1" s="28">
      <c r="A28" s="37" t="inlineStr">
        <is>
          <t>네오디뮴 자석 Ø8×3 12개 (뚜껑)</t>
        </is>
      </c>
      <c r="B28" s="38" t="n">
        <v>3890</v>
      </c>
      <c r="C28" s="39" t="n">
        <v>1</v>
      </c>
      <c r="D28" s="40">
        <f>B28*C28</f>
        <v/>
      </c>
      <c r="E28" s="41" t="inlineStr">
        <is>
          <t>coupang.com/vp/products/7589411879?vendorItem…</t>
        </is>
      </c>
      <c r="F28" s="42" t="inlineStr">
        <is>
          <t>12개 1세트</t>
        </is>
      </c>
    </row>
    <row r="29" ht="15" customHeight="1" s="28">
      <c r="A29" s="43" t="inlineStr">
        <is>
          <t>배송비</t>
        </is>
      </c>
      <c r="D29" s="44" t="n">
        <v>0</v>
      </c>
    </row>
    <row r="30" ht="15" customHeight="1" s="28">
      <c r="A30" s="45" t="inlineStr">
        <is>
          <t>쿠팡 로켓배송 소계 (물건값 + 배송비)</t>
        </is>
      </c>
      <c r="B30" s="46" t="n"/>
      <c r="C30" s="46" t="n"/>
      <c r="D30" s="47">
        <f>SUM(D27:D28)+D29</f>
        <v/>
      </c>
      <c r="E30" s="46" t="n"/>
      <c r="F30" s="46" t="n"/>
    </row>
    <row r="31" s="28"/>
    <row r="32" ht="24" customHeight="1" s="28">
      <c r="A32" s="33" t="inlineStr">
        <is>
          <t>5. 엘레파츠  (eleparts.co.kr) · 학교 지원</t>
        </is>
      </c>
      <c r="B32" s="34" t="n"/>
      <c r="C32" s="34" t="n"/>
      <c r="D32" s="34" t="n"/>
      <c r="E32" s="35" t="inlineStr">
        <is>
          <t>7품목 · 배송비 3,000원 · 66,000원 이상 무료</t>
        </is>
      </c>
      <c r="F32" s="36" t="inlineStr">
        <is>
          <t>학교 지원 주문 — 사비 주문과 따로 결제 (배송비는 학교, 20만 원 한도 밖)</t>
        </is>
      </c>
    </row>
    <row r="33" ht="15" customHeight="1" s="28">
      <c r="A33" s="37" t="inlineStr">
        <is>
          <t>10 µF 1206 칩 콘덴서 16 V (삼성, 낱개)</t>
        </is>
      </c>
      <c r="B33" s="38" t="n">
        <v>253</v>
      </c>
      <c r="C33" s="39" t="n">
        <v>16</v>
      </c>
      <c r="D33" s="40">
        <f>B33*C33</f>
        <v/>
      </c>
      <c r="E33" s="41" t="inlineStr">
        <is>
          <t>eleparts.co.kr/goods/view?no=2675965</t>
        </is>
      </c>
      <c r="F33" s="42" t="inlineStr">
        <is>
          <t>삼성 CL31A106KOHNNNE 낱개 16개 (10개 이상 253원)</t>
        </is>
      </c>
    </row>
    <row r="34" ht="15" customHeight="1" s="28">
      <c r="A34" s="37" t="inlineStr">
        <is>
          <t>16심 리본 케이블 2651-16P (센서 선)</t>
        </is>
      </c>
      <c r="B34" s="38" t="n">
        <v>1529</v>
      </c>
      <c r="C34" s="39" t="n">
        <v>2</v>
      </c>
      <c r="D34" s="40">
        <f>B34*C34</f>
        <v/>
      </c>
      <c r="E34" s="41" t="inlineStr">
        <is>
          <t>eleparts.co.kr/goods/view?no=425</t>
        </is>
      </c>
      <c r="F34" s="42" t="inlineStr">
        <is>
          <t>1 m 단위 → 2 m</t>
        </is>
      </c>
    </row>
    <row r="35" ht="15" customHeight="1" s="28">
      <c r="A35" s="37" t="inlineStr">
        <is>
          <t>3.5 mm 스테레오 AUX 선 3 m (페달)</t>
        </is>
      </c>
      <c r="B35" s="38" t="n">
        <v>2550</v>
      </c>
      <c r="C35" s="39" t="n">
        <v>1</v>
      </c>
      <c r="D35" s="40">
        <f>B35*C35</f>
        <v/>
      </c>
      <c r="E35" s="41" t="inlineStr">
        <is>
          <t>eleparts.co.kr/goods/view?no=2925651</t>
        </is>
      </c>
      <c r="F35" s="42" t="n"/>
    </row>
    <row r="36" ht="29.85" customHeight="1" s="28">
      <c r="A36" s="37" t="inlineStr">
        <is>
          <t>3.5 mm 스테레오 AUX 선 3 m 1가닥 (반으로 잘라 2가닥)</t>
        </is>
      </c>
      <c r="B36" s="38" t="n">
        <v>2550</v>
      </c>
      <c r="C36" s="39" t="n">
        <v>1</v>
      </c>
      <c r="D36" s="40">
        <f>B36*C36</f>
        <v/>
      </c>
      <c r="E36" s="41" t="inlineStr">
        <is>
          <t>eleparts.co.kr/goods/view?no=2925651</t>
        </is>
      </c>
      <c r="F36" s="42" t="inlineStr">
        <is>
          <t>3 m 1가닥을 반으로 잘라 W701·W702 두 가닥</t>
        </is>
      </c>
    </row>
    <row r="37" ht="15" customHeight="1" s="28">
      <c r="A37" s="37" t="inlineStr">
        <is>
          <t>16심 리본 케이블 추가 1 m (배선용)</t>
        </is>
      </c>
      <c r="B37" s="38" t="n">
        <v>1529</v>
      </c>
      <c r="C37" s="39" t="n">
        <v>1</v>
      </c>
      <c r="D37" s="40">
        <f>B37*C37</f>
        <v/>
      </c>
      <c r="E37" s="41" t="inlineStr">
        <is>
          <t>eleparts.co.kr/goods/view?no=425</t>
        </is>
      </c>
      <c r="F37" s="42" t="inlineStr">
        <is>
          <t>같은 상품 1 m 더 (기판 배선)</t>
        </is>
      </c>
    </row>
    <row r="38" ht="15" customHeight="1" s="28">
      <c r="A38" s="37" t="inlineStr">
        <is>
          <t>벨크로 링벨트 20 mm × 30 cm (배터리 고정)</t>
        </is>
      </c>
      <c r="B38" s="38" t="n">
        <v>863</v>
      </c>
      <c r="C38" s="39" t="n">
        <v>1</v>
      </c>
      <c r="D38" s="40">
        <f>B38*C38</f>
        <v/>
      </c>
      <c r="E38" s="41" t="inlineStr">
        <is>
          <t>eleparts.co.kr/goods/view?no=12816289</t>
        </is>
      </c>
      <c r="F38" s="42" t="inlineStr">
        <is>
          <t>보조배터리 고정</t>
        </is>
      </c>
    </row>
    <row r="39" ht="25.35" customHeight="1" s="28">
      <c r="A39" s="37" t="inlineStr">
        <is>
          <t>JST-XH 6핀 케이블 한 쌍 (Adafruit 4876)</t>
        </is>
      </c>
      <c r="B39" s="38" t="n">
        <v>2230</v>
      </c>
      <c r="C39" s="39" t="n">
        <v>2</v>
      </c>
      <c r="D39" s="40">
        <f>B39*C39</f>
        <v/>
      </c>
      <c r="E39" s="41" t="inlineStr">
        <is>
          <t>eleparts.co.kr/goods/view?no=19324904</t>
        </is>
      </c>
      <c r="F39" s="42" t="inlineStr">
        <is>
          <t>Adafruit 4876 한 쌍 × 2 (아이씨뱅큐는 견적 전용이라 10/14 엘레파츠로)</t>
        </is>
      </c>
    </row>
    <row r="40" ht="15" customHeight="1" s="28">
      <c r="A40" s="43" t="inlineStr">
        <is>
          <t>배송비</t>
        </is>
      </c>
      <c r="D40" s="44">
        <f>IF(SUM(D33:D39)&gt;=66000,0,3000)</f>
        <v/>
      </c>
    </row>
    <row r="41" ht="15" customHeight="1" s="28">
      <c r="A41" s="45" t="inlineStr">
        <is>
          <t>엘레파츠 소계 (물건값 + 배송비)</t>
        </is>
      </c>
      <c r="B41" s="46" t="n"/>
      <c r="C41" s="46" t="n"/>
      <c r="D41" s="47">
        <f>SUM(D33:D39)+D40</f>
        <v/>
      </c>
      <c r="E41" s="46" t="n"/>
      <c r="F41" s="46" t="n"/>
    </row>
    <row r="42" s="28"/>
    <row r="43" ht="24" customHeight="1" s="28">
      <c r="A43" s="33" t="inlineStr">
        <is>
          <t>6. 쿠팡 · 화성고무 판매자  (coupang.com) · 학교 지원</t>
        </is>
      </c>
      <c r="B43" s="34" t="n"/>
      <c r="C43" s="34" t="n"/>
      <c r="D43" s="34" t="n"/>
      <c r="E43" s="35" t="inlineStr">
        <is>
          <t>1품목 · 배송비 3,000원 (무료 조건 없음)</t>
        </is>
      </c>
      <c r="F43" s="36" t="inlineStr">
        <is>
          <t>학교 지원 주문 — 사비 주문과 따로 결제 (배송비는 학교, 20만 원 한도 밖)</t>
        </is>
      </c>
    </row>
    <row r="44" ht="15" customHeight="1" s="28">
      <c r="A44" s="37" t="inlineStr">
        <is>
          <t>화성고무 피스고무발 28×5 (RUB-E2)</t>
        </is>
      </c>
      <c r="B44" s="38" t="n">
        <v>433</v>
      </c>
      <c r="C44" s="39" t="n">
        <v>20</v>
      </c>
      <c r="D44" s="40">
        <f>B44*C44</f>
        <v/>
      </c>
      <c r="E44" s="41" t="inlineStr">
        <is>
          <t>coupang.com/vp/products/130058387?vendorItemI…</t>
        </is>
      </c>
      <c r="F44" s="42" t="inlineStr">
        <is>
          <t>20개 1봉</t>
        </is>
      </c>
    </row>
    <row r="45" ht="15" customHeight="1" s="28">
      <c r="A45" s="43" t="inlineStr">
        <is>
          <t>배송비</t>
        </is>
      </c>
      <c r="D45" s="44" t="n">
        <v>3000</v>
      </c>
    </row>
    <row r="46" ht="15" customHeight="1" s="28">
      <c r="A46" s="45" t="inlineStr">
        <is>
          <t>쿠팡 소계 (물건값 + 배송비)</t>
        </is>
      </c>
      <c r="B46" s="46" t="n"/>
      <c r="C46" s="46" t="n"/>
      <c r="D46" s="47">
        <f>SUM(D44)+D45</f>
        <v/>
      </c>
      <c r="E46" s="46" t="n"/>
      <c r="F46" s="46" t="n"/>
    </row>
    <row r="47" s="28"/>
    <row r="48" ht="24" customHeight="1" s="28">
      <c r="A48" s="33" t="inlineStr">
        <is>
          <t>7. 쿠팡 · 스튜디오분트  (coupang.com) · 학교 지원</t>
        </is>
      </c>
      <c r="B48" s="34" t="n"/>
      <c r="C48" s="34" t="n"/>
      <c r="D48" s="34" t="n"/>
      <c r="E48" s="35" t="inlineStr">
        <is>
          <t>1품목 · 배송비 3,000원 (무료 조건 없음)</t>
        </is>
      </c>
      <c r="F48" s="36" t="inlineStr">
        <is>
          <t>학교 지원 주문 — 사비 주문과 따로 결제 (배송비는 학교, 20만 원 한도 밖)</t>
        </is>
      </c>
    </row>
    <row r="49" ht="15" customHeight="1" s="28">
      <c r="A49" s="37" t="inlineStr">
        <is>
          <t>메리노 울 펠트 1T 20×30 cm (80 블랙)</t>
        </is>
      </c>
      <c r="B49" s="38" t="n">
        <v>6900</v>
      </c>
      <c r="C49" s="39" t="n">
        <v>1</v>
      </c>
      <c r="D49" s="40">
        <f>B49*C49</f>
        <v/>
      </c>
      <c r="E49" s="41" t="inlineStr">
        <is>
          <t>coupang.com/vp/products/6627385385?vendorItem…</t>
        </is>
      </c>
      <c r="F49" s="42" t="inlineStr">
        <is>
          <t>옵션 80.블랙 (재고 확인)</t>
        </is>
      </c>
    </row>
    <row r="50" ht="15" customHeight="1" s="28">
      <c r="A50" s="43" t="inlineStr">
        <is>
          <t>배송비</t>
        </is>
      </c>
      <c r="D50" s="44" t="n">
        <v>3000</v>
      </c>
    </row>
    <row r="51" ht="15" customHeight="1" s="28">
      <c r="A51" s="45" t="inlineStr">
        <is>
          <t>쿠팡 소계 (물건값 + 배송비)</t>
        </is>
      </c>
      <c r="B51" s="46" t="n"/>
      <c r="C51" s="46" t="n"/>
      <c r="D51" s="47">
        <f>SUM(D49)+D50</f>
        <v/>
      </c>
      <c r="E51" s="46" t="n"/>
      <c r="F51" s="46" t="n"/>
    </row>
    <row r="52" s="28"/>
    <row r="53" ht="24" customHeight="1" s="28">
      <c r="A53" s="33" t="inlineStr">
        <is>
          <t>8. 쿠팡 · 스텐환봉 절단판매(onezaze)  (coupang.com) · 학교 지원</t>
        </is>
      </c>
      <c r="B53" s="34" t="n"/>
      <c r="C53" s="34" t="n"/>
      <c r="D53" s="34" t="n"/>
      <c r="E53" s="35" t="inlineStr">
        <is>
          <t>2품목 · 배송비 3,500원 (무료 조건 없음)</t>
        </is>
      </c>
      <c r="F53" s="36" t="inlineStr">
        <is>
          <t>학교 지원 주문 — 사비 주문과 따로 결제 (배송비는 학교, 20만 원 한도 밖)</t>
        </is>
      </c>
    </row>
    <row r="54" ht="15" customHeight="1" s="28">
      <c r="A54" s="37" t="inlineStr">
        <is>
          <t>SUS304 환봉 Ø4×1 m — 건반 봉</t>
        </is>
      </c>
      <c r="B54" s="38" t="n">
        <v>1500</v>
      </c>
      <c r="C54" s="39" t="n">
        <v>2</v>
      </c>
      <c r="D54" s="40">
        <f>B54*C54</f>
        <v/>
      </c>
      <c r="E54" s="41" t="inlineStr">
        <is>
          <t>coupang.com/vp/products/7575965502?vendorItem…</t>
        </is>
      </c>
      <c r="F54" s="42" t="inlineStr">
        <is>
          <t>건반 봉</t>
        </is>
      </c>
    </row>
    <row r="55" ht="15" customHeight="1" s="28">
      <c r="A55" s="37" t="inlineStr">
        <is>
          <t>SUS304 환봉 Ø4×1 m — 레버 봉</t>
        </is>
      </c>
      <c r="B55" s="38" t="n">
        <v>1500</v>
      </c>
      <c r="C55" s="39" t="n">
        <v>2</v>
      </c>
      <c r="D55" s="40">
        <f>B55*C55</f>
        <v/>
      </c>
      <c r="E55" s="41" t="inlineStr">
        <is>
          <t>coupang.com/vp/products/7575965502?vendorItem…</t>
        </is>
      </c>
      <c r="F55" s="42" t="inlineStr">
        <is>
          <t>레버 봉</t>
        </is>
      </c>
    </row>
    <row r="56" ht="15" customHeight="1" s="28">
      <c r="A56" s="43" t="inlineStr">
        <is>
          <t>배송비</t>
        </is>
      </c>
      <c r="D56" s="44" t="n">
        <v>3500</v>
      </c>
    </row>
    <row r="57" ht="15" customHeight="1" s="28">
      <c r="A57" s="45" t="inlineStr">
        <is>
          <t>쿠팡 소계 (물건값 + 배송비)</t>
        </is>
      </c>
      <c r="B57" s="46" t="n"/>
      <c r="C57" s="46" t="n"/>
      <c r="D57" s="47">
        <f>SUM(D54:D55)+D56</f>
        <v/>
      </c>
      <c r="E57" s="46" t="n"/>
      <c r="F57" s="46" t="n"/>
    </row>
    <row r="58" s="28"/>
    <row r="59" ht="24" customHeight="1" s="28">
      <c r="A59" s="33" t="inlineStr">
        <is>
          <t>9. 디바이스마트 · 입점 판매자(댐퍼)  (devicemart.co.kr) · 학교 지원</t>
        </is>
      </c>
      <c r="B59" s="34" t="n"/>
      <c r="C59" s="34" t="n"/>
      <c r="D59" s="34" t="n"/>
      <c r="E59" s="35" t="inlineStr">
        <is>
          <t>1품목 · 배송비 3,500원 · 350,000원 이상 무료</t>
        </is>
      </c>
      <c r="F59" s="36" t="inlineStr">
        <is>
          <t>학교 지원 주문 — 사비 주문과 따로 결제 (배송비는 학교, 20만 원 한도 밖)</t>
        </is>
      </c>
    </row>
    <row r="60" ht="15" customHeight="1" s="28">
      <c r="A60" s="37" t="inlineStr">
        <is>
          <t>M3 방진 댐퍼(그로밋) 20개</t>
        </is>
      </c>
      <c r="B60" s="38" t="n">
        <v>5500</v>
      </c>
      <c r="C60" s="39" t="n">
        <v>1</v>
      </c>
      <c r="D60" s="40">
        <f>B60*C60</f>
        <v/>
      </c>
      <c r="E60" s="41" t="inlineStr">
        <is>
          <t>devicemart.co.kr/goods/view?no=16080883</t>
        </is>
      </c>
      <c r="F60" s="42" t="inlineStr">
        <is>
          <t>20개 1봉</t>
        </is>
      </c>
    </row>
    <row r="61" ht="15" customHeight="1" s="28">
      <c r="A61" s="43" t="inlineStr">
        <is>
          <t>배송비</t>
        </is>
      </c>
      <c r="D61" s="44">
        <f>IF(SUM(D60)&gt;=350000,0,3500)</f>
        <v/>
      </c>
    </row>
    <row r="62" ht="15" customHeight="1" s="28">
      <c r="A62" s="45" t="inlineStr">
        <is>
          <t>디바이스마트 소계 (물건값 + 배송비)</t>
        </is>
      </c>
      <c r="B62" s="46" t="n"/>
      <c r="C62" s="46" t="n"/>
      <c r="D62" s="47">
        <f>SUM(D60)+D61</f>
        <v/>
      </c>
      <c r="E62" s="46" t="n"/>
      <c r="F62" s="46" t="n"/>
    </row>
    <row r="63" s="28"/>
    <row r="64" ht="24" customHeight="1" s="28">
      <c r="A64" s="33" t="inlineStr">
        <is>
          <t>10. 디바이스마트  (devicemart.co.kr) · 학교 지원</t>
        </is>
      </c>
      <c r="B64" s="34" t="n"/>
      <c r="C64" s="34" t="n"/>
      <c r="D64" s="34" t="n"/>
      <c r="E64" s="35" t="inlineStr">
        <is>
          <t>7품목 · 배송비 2,700원 · 66,000원 이상 무료</t>
        </is>
      </c>
      <c r="F64" s="36" t="inlineStr">
        <is>
          <t>학교 지원 주문 — 사비 주문과 따로 결제 (배송비는 학교, 20만 원 한도 밖)</t>
        </is>
      </c>
    </row>
    <row r="65" ht="15" customHeight="1" s="28">
      <c r="A65" s="37" t="inlineStr">
        <is>
          <t>스텐 직결피스 8호 13 mm (고무발)</t>
        </is>
      </c>
      <c r="B65" s="38" t="n">
        <v>66</v>
      </c>
      <c r="C65" s="39" t="n">
        <v>20</v>
      </c>
      <c r="D65" s="40">
        <f>B65*C65</f>
        <v/>
      </c>
      <c r="E65" s="41" t="inlineStr">
        <is>
          <t>devicemart.co.kr/goods/view?no=10912779</t>
        </is>
      </c>
      <c r="F65" s="42" t="inlineStr">
        <is>
          <t>10개 단위</t>
        </is>
      </c>
    </row>
    <row r="66" ht="15" customHeight="1" s="28">
      <c r="A66" s="37" t="inlineStr">
        <is>
          <t>스텐 렌치볼트 M4 × 12 (스피커 유닛)</t>
        </is>
      </c>
      <c r="B66" s="38" t="n">
        <v>66</v>
      </c>
      <c r="C66" s="39" t="n">
        <v>10</v>
      </c>
      <c r="D66" s="40">
        <f>B66*C66</f>
        <v/>
      </c>
      <c r="E66" s="41" t="inlineStr">
        <is>
          <t>devicemart.co.kr/goods/view?no=10912479</t>
        </is>
      </c>
      <c r="F66" s="42" t="inlineStr">
        <is>
          <t>10개 단위</t>
        </is>
      </c>
    </row>
    <row r="67" ht="15" customHeight="1" s="28">
      <c r="A67" s="37" t="inlineStr">
        <is>
          <t>스텐 직결피스 8호 19 mm (그릴)</t>
        </is>
      </c>
      <c r="B67" s="38" t="n">
        <v>55</v>
      </c>
      <c r="C67" s="39" t="n">
        <v>10</v>
      </c>
      <c r="D67" s="40">
        <f>B67*C67</f>
        <v/>
      </c>
      <c r="E67" s="41" t="inlineStr">
        <is>
          <t>devicemart.co.kr/goods/view?no=10912781</t>
        </is>
      </c>
      <c r="F67" s="42" t="inlineStr">
        <is>
          <t>10개 단위</t>
        </is>
      </c>
    </row>
    <row r="68" ht="15" customHeight="1" s="28">
      <c r="A68" s="37" t="inlineStr">
        <is>
          <t>PJ-313 3.5 mm 스테레오 잭</t>
        </is>
      </c>
      <c r="B68" s="38" t="n">
        <v>154</v>
      </c>
      <c r="C68" s="39" t="n">
        <v>3</v>
      </c>
      <c r="D68" s="40">
        <f>B68*C68</f>
        <v/>
      </c>
      <c r="E68" s="41" t="inlineStr">
        <is>
          <t>devicemart.co.kr/goods/view?no=2674</t>
        </is>
      </c>
      <c r="F68" s="42" t="inlineStr">
        <is>
          <t>2개 사용 + 1 (엘레파츠 무료배송 맞춤)</t>
        </is>
      </c>
    </row>
    <row r="69" ht="15" customHeight="1" s="28">
      <c r="A69" s="37" t="inlineStr">
        <is>
          <t>스텐 트러스 태핑 피스 M3 × 12 (허브 선반 받침)</t>
        </is>
      </c>
      <c r="B69" s="38" t="n">
        <v>44</v>
      </c>
      <c r="C69" s="39" t="n">
        <v>10</v>
      </c>
      <c r="D69" s="40">
        <f>B69*C69</f>
        <v/>
      </c>
      <c r="E69" s="41" t="inlineStr">
        <is>
          <t>devicemart.co.kr/goods/view?no=10911806</t>
        </is>
      </c>
      <c r="F69" s="42" t="inlineStr">
        <is>
          <t>10개 단위</t>
        </is>
      </c>
    </row>
    <row r="70" ht="29.85" customHeight="1" s="28">
      <c r="A70" s="37" t="inlineStr">
        <is>
          <t>접시머리 직결피스 8호 13 mm (뒤판·배터리 받침, 철 백색 아연)</t>
        </is>
      </c>
      <c r="B70" s="38" t="n">
        <v>33</v>
      </c>
      <c r="C70" s="39" t="n">
        <v>10</v>
      </c>
      <c r="D70" s="40">
        <f>B70*C70</f>
        <v/>
      </c>
      <c r="E70" s="41" t="inlineStr">
        <is>
          <t>devicemart.co.kr/goods/view?no=10912759</t>
        </is>
      </c>
      <c r="F70" s="42" t="inlineStr">
        <is>
          <t>10개 단위 · 철 백색 아연 (스텐 아님)</t>
        </is>
      </c>
    </row>
    <row r="71" ht="25.35" customHeight="1" s="28">
      <c r="A71" s="37" t="inlineStr">
        <is>
          <t>100 nF 1206 칩 콘덴서 (삼성, 100 V)</t>
        </is>
      </c>
      <c r="B71" s="38" t="n">
        <v>121</v>
      </c>
      <c r="C71" s="39" t="n">
        <v>100</v>
      </c>
      <c r="D71" s="40">
        <f>B71*C71</f>
        <v/>
      </c>
      <c r="E71" s="41" t="inlineStr">
        <is>
          <t>devicemart.co.kr/goods/view?no=14991278</t>
        </is>
      </c>
      <c r="F71" s="42" t="inlineStr">
        <is>
          <t>CL31B104KCFNNNE 100 V · 100개 (아이씨뱅큐는 최소 2,000개라 10/14 디바이스마트로)</t>
        </is>
      </c>
    </row>
    <row r="72" ht="15" customHeight="1" s="28">
      <c r="A72" s="43" t="inlineStr">
        <is>
          <t>배송비</t>
        </is>
      </c>
      <c r="D72" s="44">
        <f>IF(SUM(D65:D71)&gt;=66000,0,2700)</f>
        <v/>
      </c>
    </row>
    <row r="73" ht="15" customHeight="1" s="28">
      <c r="A73" s="45" t="inlineStr">
        <is>
          <t>디바이스마트 소계 (물건값 + 배송비)</t>
        </is>
      </c>
      <c r="B73" s="46" t="n"/>
      <c r="C73" s="46" t="n"/>
      <c r="D73" s="47">
        <f>SUM(D65:D71)+D72</f>
        <v/>
      </c>
      <c r="E73" s="46" t="n"/>
      <c r="F73" s="46" t="n"/>
    </row>
    <row r="74" s="28"/>
    <row r="75" ht="24" customHeight="1" s="28">
      <c r="A75" s="33" t="inlineStr">
        <is>
          <t>11. 쿠팡 · 흑연파우더 판매자  (coupang.com) · 학교 지원</t>
        </is>
      </c>
      <c r="B75" s="34" t="n"/>
      <c r="C75" s="34" t="n"/>
      <c r="D75" s="34" t="n"/>
      <c r="E75" s="35" t="inlineStr">
        <is>
          <t>1품목 · 배송비 3,000원 (무료 조건 없음)</t>
        </is>
      </c>
      <c r="F75" s="36" t="inlineStr">
        <is>
          <t>학교 지원 주문 — 사비 주문과 따로 결제 (배송비는 학교, 20만 원 한도 밖)</t>
        </is>
      </c>
    </row>
    <row r="76" ht="15" customHeight="1" s="28">
      <c r="A76" s="37" t="inlineStr">
        <is>
          <t>흑연 가루 30 ml (드로잉용 흑연 파우더 소)</t>
        </is>
      </c>
      <c r="B76" s="38" t="n">
        <v>3000</v>
      </c>
      <c r="C76" s="39" t="n">
        <v>1</v>
      </c>
      <c r="D76" s="40">
        <f>B76*C76</f>
        <v/>
      </c>
      <c r="E76" s="41" t="inlineStr">
        <is>
          <t>coupang.com/vp/products/8243268767?vendorItem…</t>
        </is>
      </c>
      <c r="F76" s="42" t="inlineStr">
        <is>
          <t>30 ml</t>
        </is>
      </c>
    </row>
    <row r="77" ht="15" customHeight="1" s="28">
      <c r="A77" s="43" t="inlineStr">
        <is>
          <t>배송비</t>
        </is>
      </c>
      <c r="D77" s="44" t="n">
        <v>3000</v>
      </c>
    </row>
    <row r="78" ht="15" customHeight="1" s="28">
      <c r="A78" s="45" t="inlineStr">
        <is>
          <t>쿠팡 소계 (물건값 + 배송비)</t>
        </is>
      </c>
      <c r="B78" s="46" t="n"/>
      <c r="C78" s="46" t="n"/>
      <c r="D78" s="47">
        <f>SUM(D76)+D77</f>
        <v/>
      </c>
      <c r="E78" s="46" t="n"/>
      <c r="F78" s="46" t="n"/>
    </row>
    <row r="79" s="28"/>
    <row r="80" ht="15" customHeight="1" s="28">
      <c r="A80" s="32" t="inlineStr">
        <is>
          <t>■ 사비 주문 (내가 내는 돈)</t>
        </is>
      </c>
    </row>
    <row r="81" ht="24" customHeight="1" s="28">
      <c r="A81" s="33" t="inlineStr">
        <is>
          <t>12. 올스틸샵  (allsteelshop.com)</t>
        </is>
      </c>
      <c r="B81" s="34" t="n"/>
      <c r="C81" s="34" t="n"/>
      <c r="D81" s="34" t="n"/>
      <c r="E81" s="35" t="inlineStr">
        <is>
          <t>1품목 · 배송비 3,500원 (무료 조건 없음)</t>
        </is>
      </c>
      <c r="F81" s="36" t="n"/>
    </row>
    <row r="82" ht="15" customHeight="1" s="28">
      <c r="A82" s="37" t="inlineStr">
        <is>
          <t>강철 띠 9T×19×1 m (강철 블록용)</t>
        </is>
      </c>
      <c r="B82" s="38" t="n">
        <v>8610</v>
      </c>
      <c r="C82" s="39" t="n">
        <v>4</v>
      </c>
      <c r="D82" s="40">
        <f>B82*C82</f>
        <v/>
      </c>
      <c r="E82" s="41" t="inlineStr">
        <is>
          <t>allsteelshop.com/product/squareplate/9t</t>
        </is>
      </c>
      <c r="F82" s="42" t="inlineStr">
        <is>
          <t>9T×19×1000 맞춤 재단 4장 = 블록 96개</t>
        </is>
      </c>
    </row>
    <row r="83" ht="15" customHeight="1" s="28">
      <c r="A83" s="43" t="inlineStr">
        <is>
          <t>배송비</t>
        </is>
      </c>
      <c r="D83" s="44" t="n">
        <v>3500</v>
      </c>
    </row>
    <row r="84" ht="15" customHeight="1" s="28">
      <c r="A84" s="45" t="inlineStr">
        <is>
          <t>올스틸샵 소계 (물건값 + 배송비)</t>
        </is>
      </c>
      <c r="B84" s="46" t="n"/>
      <c r="C84" s="46" t="n"/>
      <c r="D84" s="47">
        <f>SUM(D82)+D83</f>
        <v/>
      </c>
      <c r="E84" s="46" t="n"/>
      <c r="F84" s="46" t="n"/>
    </row>
    <row r="85" s="28"/>
    <row r="86" ht="24" customHeight="1" s="28">
      <c r="A86" s="33" t="inlineStr">
        <is>
          <t>13. 파츠파츠  (parts-parts.co.kr)</t>
        </is>
      </c>
      <c r="B86" s="34" t="n"/>
      <c r="C86" s="34" t="n"/>
      <c r="D86" s="34" t="n"/>
      <c r="E86" s="35" t="inlineStr">
        <is>
          <t>2품목 · 배송비 3,000원 · 100,000원 이상 무료</t>
        </is>
      </c>
      <c r="F86" s="36" t="n"/>
    </row>
    <row r="87" ht="15" customHeight="1" s="28">
      <c r="A87" s="37" t="inlineStr">
        <is>
          <t>RP2040-Zero 보드 (PP-A799-2)</t>
        </is>
      </c>
      <c r="B87" s="38" t="n">
        <v>3300</v>
      </c>
      <c r="C87" s="39" t="n">
        <v>8</v>
      </c>
      <c r="D87" s="40">
        <f>B87*C87</f>
        <v/>
      </c>
      <c r="E87" s="41" t="inlineStr">
        <is>
          <t>parts-parts.co.kr/product/detail.html?product…</t>
        </is>
      </c>
      <c r="F87" s="42" t="inlineStr">
        <is>
          <t>모듈 7 + 페달 1</t>
        </is>
      </c>
    </row>
    <row r="88" ht="15" customHeight="1" s="28">
      <c r="A88" s="37" t="inlineStr">
        <is>
          <t>16채널 먹스 모듈 CD74HC4067</t>
        </is>
      </c>
      <c r="B88" s="38" t="n">
        <v>500</v>
      </c>
      <c r="C88" s="39" t="n">
        <v>7</v>
      </c>
      <c r="D88" s="40">
        <f>B88*C88</f>
        <v/>
      </c>
      <c r="E88" s="41" t="inlineStr">
        <is>
          <t>parts-parts.co.kr/product/detail.html?product…</t>
        </is>
      </c>
      <c r="F88" s="42" t="inlineStr">
        <is>
          <t>모듈마다 1개</t>
        </is>
      </c>
    </row>
    <row r="89" ht="15" customHeight="1" s="28">
      <c r="A89" s="43" t="inlineStr">
        <is>
          <t>배송비</t>
        </is>
      </c>
      <c r="D89" s="44">
        <f>IF(SUM(D87:D88)&gt;=100000,0,3000)</f>
        <v/>
      </c>
    </row>
    <row r="90" ht="15" customHeight="1" s="28">
      <c r="A90" s="45" t="inlineStr">
        <is>
          <t>파츠파츠 소계 (물건값 + 배송비)</t>
        </is>
      </c>
      <c r="B90" s="46" t="n"/>
      <c r="C90" s="46" t="n"/>
      <c r="D90" s="47">
        <f>SUM(D87:D88)+D89</f>
        <v/>
      </c>
      <c r="E90" s="46" t="n"/>
      <c r="F90" s="46" t="n"/>
    </row>
    <row r="91" s="28"/>
    <row r="92" ht="24" customHeight="1" s="28">
      <c r="A92" s="33" t="inlineStr">
        <is>
          <t>14. 한국미스미  (kr.misumi-ec.com)</t>
        </is>
      </c>
      <c r="B92" s="34" t="n"/>
      <c r="C92" s="34" t="n"/>
      <c r="D92" s="34" t="n"/>
      <c r="E92" s="35" t="inlineStr">
        <is>
          <t>1품목 · 무료배송</t>
        </is>
      </c>
      <c r="F92" s="36" t="n"/>
    </row>
    <row r="93" ht="15" customHeight="1" s="28">
      <c r="A93" s="37" t="inlineStr">
        <is>
          <t>미스미 토션스프링 C-UA90R5-3-0.5</t>
        </is>
      </c>
      <c r="B93" s="38" t="n">
        <v>310</v>
      </c>
      <c r="C93" s="39" t="n">
        <v>100</v>
      </c>
      <c r="D93" s="40">
        <f>B93*C93</f>
        <v/>
      </c>
      <c r="E93" s="41" t="inlineStr">
        <is>
          <t>kr.misumi-ec.com/vona2/detail/110310556289/?H…</t>
        </is>
      </c>
      <c r="F93" s="42" t="inlineStr">
        <is>
          <t>100개부터 구간 단가 310원 · 다리를 22.3 / 8.0 mm로 잘라 씀</t>
        </is>
      </c>
    </row>
    <row r="94" ht="15" customHeight="1" s="28">
      <c r="A94" s="43" t="inlineStr">
        <is>
          <t>배송비</t>
        </is>
      </c>
      <c r="D94" s="44" t="n">
        <v>0</v>
      </c>
    </row>
    <row r="95" ht="15" customHeight="1" s="28">
      <c r="A95" s="45" t="inlineStr">
        <is>
          <t>한국미스미 소계 (물건값 + 배송비)</t>
        </is>
      </c>
      <c r="B95" s="46" t="n"/>
      <c r="C95" s="46" t="n"/>
      <c r="D95" s="47">
        <f>SUM(D93)+D94</f>
        <v/>
      </c>
      <c r="E95" s="46" t="n"/>
      <c r="F95" s="46" t="n"/>
    </row>
    <row r="96" s="28"/>
    <row r="97" ht="24" customHeight="1" s="28">
      <c r="A97" s="33" t="inlineStr">
        <is>
          <t>15. 나비엠알오  (navimro.com)</t>
        </is>
      </c>
      <c r="B97" s="34" t="n"/>
      <c r="C97" s="34" t="n"/>
      <c r="D97" s="34" t="n"/>
      <c r="E97" s="35" t="inlineStr">
        <is>
          <t>3품목 · 배송비 3,300원 · 55,000원 이상 무료</t>
        </is>
      </c>
      <c r="F97" s="36" t="inlineStr">
        <is>
          <t>5만 원(VAT 별도) 이상 무료 — 지금은 모자라 배송비 3,300원</t>
        </is>
      </c>
    </row>
    <row r="98" ht="15" customHeight="1" s="28">
      <c r="A98" s="37" t="inlineStr">
        <is>
          <t>WAKI 하네나이트 1T 170×245 (HNT002)</t>
        </is>
      </c>
      <c r="B98" s="38" t="n">
        <v>16489</v>
      </c>
      <c r="C98" s="39" t="n">
        <v>1</v>
      </c>
      <c r="D98" s="40">
        <f>B98*C98</f>
        <v/>
      </c>
      <c r="E98" s="41" t="inlineStr">
        <is>
          <t>navimro.com/g/1029233/</t>
        </is>
      </c>
      <c r="F98" s="42" t="inlineStr">
        <is>
          <t>170×245 1장</t>
        </is>
      </c>
    </row>
    <row r="99" ht="15" customHeight="1" s="28">
      <c r="A99" s="37" t="inlineStr">
        <is>
          <t>WAKI PORON 5T 점착 100×100 (PON-02)</t>
        </is>
      </c>
      <c r="B99" s="38" t="n">
        <v>3399</v>
      </c>
      <c r="C99" s="39" t="n">
        <v>1</v>
      </c>
      <c r="D99" s="40">
        <f>B99*C99</f>
        <v/>
      </c>
      <c r="E99" s="41" t="inlineStr">
        <is>
          <t>navimro.com/g/1028764/</t>
        </is>
      </c>
      <c r="F99" s="42" t="inlineStr">
        <is>
          <t>100×100 1장 (패드 128개)</t>
        </is>
      </c>
    </row>
    <row r="100" ht="15" customHeight="1" s="28">
      <c r="A100" s="37" t="inlineStr">
        <is>
          <t>OHP 필름 A4 0.1 mm 20매 (PET 심용)</t>
        </is>
      </c>
      <c r="B100" s="38" t="n">
        <v>2739</v>
      </c>
      <c r="C100" s="39" t="n">
        <v>1</v>
      </c>
      <c r="D100" s="40">
        <f>B100*C100</f>
        <v/>
      </c>
      <c r="E100" s="41" t="inlineStr">
        <is>
          <t>navimro.com/g/37021/</t>
        </is>
      </c>
      <c r="F100" s="42" t="inlineStr">
        <is>
          <t>받으면 두께 0.1 mm인지 확인</t>
        </is>
      </c>
    </row>
    <row r="101" ht="15" customHeight="1" s="28">
      <c r="A101" s="43" t="inlineStr">
        <is>
          <t>배송비</t>
        </is>
      </c>
      <c r="D101" s="44">
        <f>IF(SUM(D98:D100)&gt;=55000,0,3300)</f>
        <v/>
      </c>
      <c r="E101" t="inlineStr">
        <is>
          <t>https://www.navimro.com/g/37021/</t>
        </is>
      </c>
    </row>
    <row r="102" ht="15" customHeight="1" s="28">
      <c r="A102" s="45" t="inlineStr">
        <is>
          <t>나비엠알오 소계 (물건값 + 배송비)</t>
        </is>
      </c>
      <c r="B102" s="46" t="n"/>
      <c r="C102" s="46" t="n"/>
      <c r="D102" s="47">
        <f>SUM(D98:D100)+D101</f>
        <v/>
      </c>
      <c r="E102" s="46" t="n"/>
      <c r="F102" s="46" t="n"/>
    </row>
    <row r="103" ht="15" customHeight="1" s="28"/>
    <row r="104" s="28">
      <c r="A104" s="33" t="inlineStr">
        <is>
          <t>16. 나사코리아  (nasakorea.com)</t>
        </is>
      </c>
      <c r="B104" s="34" t="n"/>
      <c r="C104" s="34" t="n"/>
      <c r="D104" s="34" t="n"/>
      <c r="E104" s="35" t="inlineStr">
        <is>
          <t>2품목 · 배송비 3,300원 · 100,000원 이상 무료</t>
        </is>
      </c>
      <c r="F104" s="36" t="n"/>
    </row>
    <row r="105" ht="24" customHeight="1" s="28">
      <c r="A105" s="37" t="inlineStr">
        <is>
          <t>밸런스 핀 Ø2×12 SUS304 (100개)</t>
        </is>
      </c>
      <c r="B105" s="38" t="n">
        <v>16600</v>
      </c>
      <c r="C105" s="39" t="n">
        <v>1</v>
      </c>
      <c r="D105" s="40">
        <f>B105*C105</f>
        <v/>
      </c>
      <c r="E105" s="41" t="inlineStr">
        <is>
          <t>nasakorea.com/goods/goods_view.php?goodsNo=60…</t>
        </is>
      </c>
      <c r="F105" s="42" t="inlineStr">
        <is>
          <t>100개 1봉</t>
        </is>
      </c>
    </row>
    <row r="106" ht="15" customHeight="1" s="28">
      <c r="A106" s="37" t="inlineStr">
        <is>
          <t>손잡이볼트 M4 × 20 5개 (스피커 ↔ 가운데 결합)</t>
        </is>
      </c>
      <c r="B106" s="38" t="n">
        <v>6700</v>
      </c>
      <c r="C106" s="39" t="n">
        <v>1</v>
      </c>
      <c r="D106" s="40">
        <f>B106*C106</f>
        <v/>
      </c>
      <c r="E106" s="41" t="inlineStr">
        <is>
          <t>nasakorea.com/goods/goods_view.php?goodsNo=60…</t>
        </is>
      </c>
      <c r="F106" s="42" t="inlineStr">
        <is>
          <t>옵션 '4*20/5개/스텐304'</t>
        </is>
      </c>
    </row>
    <row r="107" ht="15" customHeight="1" s="28">
      <c r="A107" s="43" t="inlineStr">
        <is>
          <t>배송비</t>
        </is>
      </c>
      <c r="D107" s="44">
        <f>IF(SUM(D105:D106)&gt;=100000,0,3300)</f>
        <v/>
      </c>
      <c r="E107" t="inlineStr">
        <is>
          <t>https://nasakorea.com/goods/goods_view.php?goodsNo=6090</t>
        </is>
      </c>
    </row>
    <row r="108" ht="15" customHeight="1" s="28">
      <c r="A108" s="45" t="inlineStr">
        <is>
          <t>나사코리아 소계 (물건값 + 배송비)</t>
        </is>
      </c>
      <c r="B108" s="46" t="n"/>
      <c r="C108" s="46" t="n"/>
      <c r="D108" s="47">
        <f>SUM(D105:D106)+D107</f>
        <v/>
      </c>
      <c r="E108" s="46" t="n"/>
      <c r="F108" s="46" t="n"/>
    </row>
    <row r="109" ht="15" customHeight="1" s="28"/>
    <row r="110" s="28">
      <c r="A110" s="33" t="inlineStr">
        <is>
          <t>17. 스튜디오분트  (studiobunt.com)</t>
        </is>
      </c>
      <c r="B110" s="34" t="n"/>
      <c r="C110" s="34" t="n"/>
      <c r="D110" s="34" t="n"/>
      <c r="E110" s="35" t="inlineStr">
        <is>
          <t>1품목 · 배송비 3,000원 · 50,000원 이상 무료</t>
        </is>
      </c>
      <c r="F110" s="36" t="n"/>
    </row>
    <row r="111" ht="24" customHeight="1" s="28">
      <c r="A111" s="37" t="inlineStr">
        <is>
          <t>메리노 울 펠트 2T 20×30 cm (35 블랙)</t>
        </is>
      </c>
      <c r="B111" s="38" t="n">
        <v>13800</v>
      </c>
      <c r="C111" s="39" t="n">
        <v>1</v>
      </c>
      <c r="D111" s="40">
        <f>B111*C111</f>
        <v/>
      </c>
      <c r="E111" s="41" t="inlineStr">
        <is>
          <t>studiobunt.com/product/detail.html?product_no…</t>
        </is>
      </c>
      <c r="F111" s="42" t="inlineStr">
        <is>
          <t>쿠팡에 2 mm 없음 (10/8 확인) — 직영몰</t>
        </is>
      </c>
    </row>
    <row r="112" ht="15" customHeight="1" s="28">
      <c r="A112" s="43" t="inlineStr">
        <is>
          <t>배송비</t>
        </is>
      </c>
      <c r="D112" s="44">
        <f>IF(SUM(D111)&gt;=50000,0,3000)</f>
        <v/>
      </c>
    </row>
    <row r="113" ht="15" customHeight="1" s="28">
      <c r="A113" s="45" t="inlineStr">
        <is>
          <t>스튜디오분트 소계 (물건값 + 배송비)</t>
        </is>
      </c>
      <c r="B113" s="46" t="n"/>
      <c r="C113" s="46" t="n"/>
      <c r="D113" s="47">
        <f>SUM(D111)+D112</f>
        <v/>
      </c>
      <c r="E113" s="46" t="n"/>
      <c r="F113" s="46" t="n"/>
    </row>
    <row r="114" ht="15" customHeight="1" s="28"/>
    <row r="115" s="28">
      <c r="A115" s="33" t="inlineStr">
        <is>
          <t>18. 상우아트  (11번가)</t>
        </is>
      </c>
      <c r="B115" s="34" t="n"/>
      <c r="C115" s="34" t="n"/>
      <c r="D115" s="34" t="n"/>
      <c r="E115" s="35" t="inlineStr">
        <is>
          <t>2품목 · 배송비 3,000원 · 70,000원 이상 무료</t>
        </is>
      </c>
      <c r="F115" s="36" t="n"/>
    </row>
    <row r="116" ht="24" customHeight="1" s="28">
      <c r="A116" s="37" t="inlineStr">
        <is>
          <t>EVA 고밀도 폼 3T 330×490 검정</t>
        </is>
      </c>
      <c r="B116" s="38" t="n">
        <v>2100</v>
      </c>
      <c r="C116" s="39" t="n">
        <v>3</v>
      </c>
      <c r="D116" s="40">
        <f>B116*C116</f>
        <v/>
      </c>
      <c r="E116" s="41" t="inlineStr">
        <is>
          <t>11st.co.kr/products/7591566666</t>
        </is>
      </c>
      <c r="F116" s="42" t="inlineStr">
        <is>
          <t>330×490 3장</t>
        </is>
      </c>
    </row>
    <row r="117" ht="15" customHeight="1" s="28">
      <c r="A117" s="37" t="inlineStr">
        <is>
          <t>대원 0.5T 접착 펠트지 30×45 (H-20 검정)</t>
        </is>
      </c>
      <c r="B117" s="38" t="n">
        <v>1500</v>
      </c>
      <c r="C117" s="39" t="n">
        <v>1</v>
      </c>
      <c r="D117" s="40">
        <f>B117*C117</f>
        <v/>
      </c>
      <c r="E117" s="41" t="inlineStr">
        <is>
          <t>11st.co.kr/products/8517880969</t>
        </is>
      </c>
      <c r="F117" s="42" t="inlineStr">
        <is>
          <t>쿠팡 상우아트에는 H-20 검정 없음 (10/8 확인) — 11번가</t>
        </is>
      </c>
    </row>
    <row r="118" ht="15" customHeight="1" s="28">
      <c r="A118" s="43" t="inlineStr">
        <is>
          <t>배송비</t>
        </is>
      </c>
      <c r="D118" s="44">
        <f>IF(SUM(D116:D117)&gt;=70000,0,3000)</f>
        <v/>
      </c>
    </row>
    <row r="119" ht="15" customHeight="1" s="28">
      <c r="A119" s="45" t="inlineStr">
        <is>
          <t>상우아트 소계 (물건값 + 배송비)</t>
        </is>
      </c>
      <c r="B119" s="46" t="n"/>
      <c r="C119" s="46" t="n"/>
      <c r="D119" s="47">
        <f>SUM(D116:D117)+D118</f>
        <v/>
      </c>
      <c r="E119" s="46" t="n"/>
      <c r="F119" s="46" t="n"/>
    </row>
    <row r="120" s="28"/>
    <row r="121" ht="24" customHeight="1" s="28">
      <c r="A121" s="33" t="inlineStr">
        <is>
          <t>19. 대건상사  (dgmagnet.com)</t>
        </is>
      </c>
      <c r="B121" s="34" t="n"/>
      <c r="C121" s="34" t="n"/>
      <c r="D121" s="34" t="n"/>
      <c r="E121" s="35" t="inlineStr">
        <is>
          <t>1품목 · 배송비 2,500원 · 50,000원 이상 무료</t>
        </is>
      </c>
      <c r="F121" s="36" t="n"/>
    </row>
    <row r="122" ht="15" customHeight="1" s="28">
      <c r="A122" s="37" t="inlineStr">
        <is>
          <t>네오디뮴 자석 Ø5×2 N35</t>
        </is>
      </c>
      <c r="B122" s="38" t="n">
        <v>80</v>
      </c>
      <c r="C122" s="39" t="n">
        <v>89</v>
      </c>
      <c r="D122" s="40">
        <f>B122*C122</f>
        <v/>
      </c>
      <c r="E122" s="41" t="inlineStr">
        <is>
          <t>dgmagnet.com/product/초강력-네오디움-원형자석-5mm/13/</t>
        </is>
      </c>
      <c r="F122" s="42" t="inlineStr">
        <is>
          <t>89개 사용 + 예비</t>
        </is>
      </c>
    </row>
    <row r="123" ht="15" customHeight="1" s="28">
      <c r="A123" s="43" t="inlineStr">
        <is>
          <t>배송비</t>
        </is>
      </c>
      <c r="D123" s="44">
        <f>IF(SUM(D122)&gt;=50000,0,2500)</f>
        <v/>
      </c>
      <c r="E123" t="inlineStr">
        <is>
          <t>https://www.11st.co.kr/products/8517880969</t>
        </is>
      </c>
    </row>
    <row r="124" ht="15" customHeight="1" s="28">
      <c r="A124" s="45" t="inlineStr">
        <is>
          <t>대건상사 소계 (물건값 + 배송비)</t>
        </is>
      </c>
      <c r="B124" s="46" t="n"/>
      <c r="C124" s="46" t="n"/>
      <c r="D124" s="47">
        <f>SUM(D122)+D123</f>
        <v/>
      </c>
      <c r="E124" s="46" t="n"/>
      <c r="F124" s="46" t="n"/>
    </row>
    <row r="125" ht="15" customHeight="1" s="28"/>
    <row r="126" s="28">
      <c r="A126" s="33" t="inlineStr">
        <is>
          <t>20. 골드그로브  (11번가)</t>
        </is>
      </c>
      <c r="B126" s="34" t="n"/>
      <c r="C126" s="34" t="n"/>
      <c r="D126" s="34" t="n"/>
      <c r="E126" s="35" t="inlineStr">
        <is>
          <t>1품목 · 무료배송</t>
        </is>
      </c>
      <c r="F126" s="36" t="n"/>
    </row>
    <row r="127" ht="24" customHeight="1" s="28">
      <c r="A127" s="37" t="inlineStr">
        <is>
          <t>텅스텐 퍼티 22 g (낚시 싱커)</t>
        </is>
      </c>
      <c r="B127" s="38" t="n">
        <v>8750</v>
      </c>
      <c r="C127" s="39" t="n">
        <v>1</v>
      </c>
      <c r="D127" s="40">
        <f>B127*C127</f>
        <v/>
      </c>
      <c r="E127" s="41" t="inlineStr">
        <is>
          <t>11st.co.kr/products/9579455646</t>
        </is>
      </c>
      <c r="F127" s="42" t="inlineStr">
        <is>
          <t>22 g 1개 (10/10 구매, 무료배송)</t>
        </is>
      </c>
    </row>
    <row r="128" ht="15" customHeight="1" s="28">
      <c r="A128" s="43" t="inlineStr">
        <is>
          <t>배송비</t>
        </is>
      </c>
      <c r="D128" s="44" t="n">
        <v>0</v>
      </c>
      <c r="E128" t="inlineStr">
        <is>
          <t>https://dgmagnet.com/product/초강력-네오디움-원형자석-5mm/13/</t>
        </is>
      </c>
    </row>
    <row r="129" ht="15" customHeight="1" s="28">
      <c r="A129" s="45" t="inlineStr">
        <is>
          <t>골드그로브 소계 (물건값 + 배송비)</t>
        </is>
      </c>
      <c r="B129" s="46" t="n"/>
      <c r="C129" s="46" t="n"/>
      <c r="D129" s="47">
        <f>SUM(D127)+D128</f>
        <v/>
      </c>
      <c r="E129" s="46" t="n"/>
      <c r="F129" s="46" t="n"/>
    </row>
    <row r="130" ht="15" customHeight="1" s="28"/>
    <row r="131" s="28">
      <c r="A131" s="33" t="inlineStr">
        <is>
          <t>21. 쿠팡 로켓배송  (coupang.com)</t>
        </is>
      </c>
      <c r="B131" s="34" t="n"/>
      <c r="C131" s="34" t="n"/>
      <c r="D131" s="34" t="n"/>
      <c r="E131" s="35" t="inlineStr">
        <is>
          <t>1품목 · 무료배송</t>
        </is>
      </c>
      <c r="F131" s="36" t="inlineStr">
        <is>
          <t>와우회원 무료배송</t>
        </is>
      </c>
    </row>
    <row r="132" ht="24" customHeight="1" s="28">
      <c r="A132" s="37" t="inlineStr">
        <is>
          <t>방울솜(폴리에스터) 1 kg — 흡음솜</t>
        </is>
      </c>
      <c r="B132" s="38" t="n">
        <v>5200</v>
      </c>
      <c r="C132" s="39" t="n">
        <v>1</v>
      </c>
      <c r="D132" s="40">
        <f>B132*C132</f>
        <v/>
      </c>
      <c r="E132" s="41" t="inlineStr">
        <is>
          <t>coupang.com/vp/products/8826157891?vendorItem…</t>
        </is>
      </c>
      <c r="F132" s="42" t="inlineStr">
        <is>
          <t>1 kg (300 g 대신)</t>
        </is>
      </c>
    </row>
    <row r="133" ht="15" customHeight="1" s="28">
      <c r="A133" s="43" t="inlineStr">
        <is>
          <t>배송비</t>
        </is>
      </c>
      <c r="D133" s="44" t="n">
        <v>0</v>
      </c>
      <c r="E133" t="inlineStr">
        <is>
          <t>https://www.11st.co.kr/products/9579455646</t>
        </is>
      </c>
    </row>
    <row r="134" ht="15" customHeight="1" s="28">
      <c r="A134" s="45" t="inlineStr">
        <is>
          <t>쿠팡 로켓배송 소계 (물건값 + 배송비)</t>
        </is>
      </c>
      <c r="B134" s="46" t="n"/>
      <c r="C134" s="46" t="n"/>
      <c r="D134" s="47">
        <f>SUM(D132)+D133</f>
        <v/>
      </c>
      <c r="E134" s="46" t="n"/>
      <c r="F134" s="46" t="n"/>
    </row>
    <row r="135" ht="15" customHeight="1" s="28"/>
    <row r="136" s="28">
      <c r="A136" s="33" t="inlineStr">
        <is>
          <t>22. 엘레파츠  (eleparts.co.kr) · 사비</t>
        </is>
      </c>
      <c r="B136" s="34" t="n"/>
      <c r="C136" s="34" t="n"/>
      <c r="D136" s="34" t="n"/>
      <c r="E136" s="35" t="inlineStr">
        <is>
          <t>2품목 · 배송비 3,000원 · 66,000원 이상 무료</t>
        </is>
      </c>
      <c r="F136" s="36" t="inlineStr">
        <is>
          <t>학교 엘레파츠 주문과 따로 결제 (10/14 추가 — USB 선 8가닥, 가진 것이 없어 사비로)</t>
        </is>
      </c>
    </row>
    <row r="137" ht="24" customHeight="1" s="28">
      <c r="A137" s="37" t="inlineStr">
        <is>
          <t>USB-A → C 데이터 케이블 1 m (Coms NA993, 모듈 O1·O2)</t>
        </is>
      </c>
      <c r="B137" s="38" t="n">
        <v>1620</v>
      </c>
      <c r="C137" s="39" t="n">
        <v>2</v>
      </c>
      <c r="D137" s="40">
        <f>B137*C137</f>
        <v/>
      </c>
      <c r="E137" s="41" t="inlineStr">
        <is>
          <t>eleparts.co.kr/goods/view?no=4313490</t>
        </is>
      </c>
      <c r="F137" s="42" t="inlineStr">
        <is>
          <t>O1·O2 (CAD 경로 1 m)</t>
        </is>
      </c>
    </row>
    <row r="138" ht="15" customHeight="1" s="28">
      <c r="A138" s="37" t="inlineStr">
        <is>
          <t>USB-A → C 데이터 케이블 50 cm (Coms HB466, 모듈 O3~O7·페달 보드)</t>
        </is>
      </c>
      <c r="B138" s="38" t="n">
        <v>1870</v>
      </c>
      <c r="C138" s="39" t="n">
        <v>6</v>
      </c>
      <c r="D138" s="40">
        <f>B138*C138</f>
        <v/>
      </c>
      <c r="E138" s="41" t="inlineStr">
        <is>
          <t>eleparts.co.kr/goods/view?no=12185313</t>
        </is>
      </c>
      <c r="F138" s="42" t="inlineStr">
        <is>
          <t>O3·O4·O7·페달 0.5 m 자리 + O5·O6 0.3 m 자리(남는 선은 묶음)</t>
        </is>
      </c>
    </row>
    <row r="139" ht="15" customHeight="1" s="28">
      <c r="A139" s="43" t="inlineStr">
        <is>
          <t>배송비</t>
        </is>
      </c>
      <c r="D139" s="44">
        <f>IF(SUM(D137:D138)&gt;=66000,0,3000)</f>
        <v/>
      </c>
    </row>
    <row r="140" ht="15" customHeight="1" s="28">
      <c r="A140" s="45" t="inlineStr">
        <is>
          <t>엘레파츠 소계 (물건값 + 배송비)</t>
        </is>
      </c>
      <c r="B140" s="46" t="n"/>
      <c r="C140" s="46" t="n"/>
      <c r="D140" s="47">
        <f>SUM(D137:D138)+D139</f>
        <v/>
      </c>
      <c r="E140" s="46" t="n"/>
      <c r="F140" s="46" t="n"/>
    </row>
    <row r="141" s="28"/>
    <row r="142" ht="24" customHeight="1" s="28">
      <c r="A142" s="33" t="inlineStr">
        <is>
          <t>23. AliExpress  (ko.aliexpress.com)</t>
        </is>
      </c>
      <c r="B142" s="34" t="n"/>
      <c r="C142" s="34" t="n"/>
      <c r="D142" s="34" t="n"/>
      <c r="E142" s="35" t="inlineStr">
        <is>
          <t>1품목 · 배송비 별도 표기 없음 (0원으로 둠)</t>
        </is>
      </c>
      <c r="F142" s="36" t="inlineStr">
        <is>
          <t>10/14 사비 구매 — 해외 배송</t>
        </is>
      </c>
    </row>
    <row r="143" ht="15" customHeight="1" s="28">
      <c r="A143" s="37" t="inlineStr">
        <is>
          <t>Waveshare 7-DSI-TOUCH-C 7인치 터치스크린</t>
        </is>
      </c>
      <c r="B143" s="38" t="n">
        <v>52034</v>
      </c>
      <c r="C143" s="39" t="n">
        <v>1</v>
      </c>
      <c r="D143" s="40">
        <f>B143*C143</f>
        <v/>
      </c>
      <c r="E143" s="41" t="inlineStr">
        <is>
          <t>ko.aliexpress.com/item/1005012020918299.html</t>
        </is>
      </c>
      <c r="F143" s="42" t="inlineStr">
        <is>
          <t>구성: 화면 + DSI 12 cm·FFC 200 mm ×2·전원선 2종·스탠드오프 (본체용 300 mm 리본은 따로)</t>
        </is>
      </c>
    </row>
    <row r="144" ht="15" customHeight="1" s="28">
      <c r="A144" s="43" t="inlineStr">
        <is>
          <t>배송비</t>
        </is>
      </c>
      <c r="D144" s="44" t="n">
        <v>0</v>
      </c>
      <c r="E144" t="inlineStr">
        <is>
          <t>https://www.eleparts.co.kr/goods/view?no=12185313</t>
        </is>
      </c>
    </row>
    <row r="145" ht="15" customHeight="1" s="28">
      <c r="A145" s="45" t="inlineStr">
        <is>
          <t>AliExpress 소계 (물건값 + 배송비)</t>
        </is>
      </c>
      <c r="B145" s="46" t="n"/>
      <c r="C145" s="46" t="n"/>
      <c r="D145" s="47">
        <f>SUM(D143)+D144</f>
        <v/>
      </c>
      <c r="E145" s="46" t="n"/>
      <c r="F145" s="46" t="n"/>
    </row>
    <row r="146" ht="15" customHeight="1" s="28"/>
    <row r="147" s="28">
      <c r="A147" s="33" t="inlineStr">
        <is>
          <t>24. Bambu Lab KR 공식 스토어  (kr.store.bambulab.com)</t>
        </is>
      </c>
      <c r="B147" s="34" t="n"/>
      <c r="C147" s="34" t="n"/>
      <c r="D147" s="34" t="n"/>
      <c r="E147" s="35" t="inlineStr">
        <is>
          <t>1품목 · 배송비 3,000원 · 70,000원 이상 무료</t>
        </is>
      </c>
      <c r="F147" s="36" t="inlineStr">
        <is>
          <t>10/16 사비 구매 — A안(합판 대신 판을 출력)으로 모자라는 검정 PETG</t>
        </is>
      </c>
    </row>
    <row r="148" ht="24" customHeight="1" s="28">
      <c r="A148" s="37" t="inlineStr">
        <is>
          <t>Bambu PETG Basic 검정 1 kg 스풀 (판 출력 추가분)</t>
        </is>
      </c>
      <c r="B148" s="38" t="n">
        <v>16150</v>
      </c>
      <c r="C148" s="39" t="n">
        <v>4</v>
      </c>
      <c r="D148" s="40">
        <f>B148*C148</f>
        <v/>
      </c>
      <c r="E148" s="41" t="inlineStr">
        <is>
          <t>kr.store.bambulab.com/products/petg-basic</t>
        </is>
      </c>
      <c r="F148" s="42" t="inlineStr">
        <is>
          <t>블랙(30105) 스풀 포함 · 4개부터 15 % 할인(정가 19,000원) · 블랙 리필은 10/16 품절</t>
        </is>
      </c>
    </row>
    <row r="149" ht="15" customHeight="1" s="28">
      <c r="A149" s="43" t="inlineStr">
        <is>
          <t>배송비</t>
        </is>
      </c>
      <c r="D149" s="44">
        <f>IF(SUM(D148)&gt;=70000,0,3000)</f>
        <v/>
      </c>
    </row>
    <row r="150" ht="15" customHeight="1" s="28">
      <c r="A150" s="45" t="inlineStr">
        <is>
          <t>Bambu Lab KR 공식 스토어 소계 (물건값 + 배송비)</t>
        </is>
      </c>
      <c r="B150" s="46" t="n"/>
      <c r="C150" s="46" t="n"/>
      <c r="D150" s="47">
        <f>SUM(D148)+D149</f>
        <v/>
      </c>
      <c r="E150" s="46" t="n"/>
      <c r="F150" s="46" t="n"/>
    </row>
    <row r="151" ht="15" customHeight="1" s="28"/>
    <row r="152" s="28">
      <c r="A152" s="48" t="inlineStr">
        <is>
          <t>물건값 합계 (48품목)</t>
        </is>
      </c>
      <c r="B152" s="34" t="n"/>
      <c r="C152" s="34" t="n"/>
      <c r="D152" s="49">
        <f>SUM(D8:D12,D17,D22,D27:D28,D33:D39,D44,D49,D54:D55,D60,D65:D71,D76,D82,D87:D88,D93,D98:D100,D105:D106,D111,D116:D117,D122,D127,D132,D137:D138,D143,D148)</f>
        <v/>
      </c>
      <c r="E152" s="34" t="n"/>
      <c r="F152" s="34" t="n"/>
    </row>
    <row r="153" ht="15" customHeight="1" s="28">
      <c r="A153" s="48" t="inlineStr">
        <is>
          <t>배송비 합계 (판매처 24곳)</t>
        </is>
      </c>
      <c r="B153" s="34" t="n"/>
      <c r="C153" s="34" t="n"/>
      <c r="D153" s="49">
        <f>D13+D18+D23+D29+D40+D45+D50+D56+D61+D72+D77+D83+D89+D94+D101+D107+D112+D118+D123+D128+D133+D139+D144+D149</f>
        <v/>
      </c>
      <c r="E153" s="34" t="n"/>
      <c r="F153" s="34" t="n"/>
    </row>
    <row r="154" ht="15" customHeight="1" s="28">
      <c r="A154" s="50" t="inlineStr">
        <is>
          <t>총합 (최종 가격)</t>
        </is>
      </c>
      <c r="B154" s="51" t="n"/>
      <c r="C154" s="51" t="n"/>
      <c r="D154" s="52">
        <f>D152+D153</f>
        <v/>
      </c>
      <c r="E154" s="53" t="inlineStr">
        <is>
          <t>VAT 포함 · 배송비 포함</t>
        </is>
      </c>
      <c r="F154" s="51" t="n"/>
    </row>
    <row r="155" ht="30" customHeight="1" s="28">
      <c r="A155" s="48" t="inlineStr">
        <is>
          <t>학교 지원 합계 (한도 200,000원, 물건값만)</t>
        </is>
      </c>
      <c r="B155" s="34" t="n"/>
      <c r="C155" s="34" t="n"/>
      <c r="D155" s="49">
        <f>SUM(D8:D12,D17,D22,D27:D28,D33:D39,D44,D49,D54:D55,D60,D65:D71,D76)</f>
        <v/>
      </c>
      <c r="E155" s="35" t="inlineStr">
        <is>
          <t>학교 지원 주문의 물건값 합 (배송비 제외)</t>
        </is>
      </c>
      <c r="F155" s="34" t="inlineStr">
        <is>
          <t>학교 지원 주문의 물건값 합 (배송비 제외) · 10/14 JST·100 nF 판매처를 바꿔 한도를 7,852원 넘음 (사용자 확인) · 10/16 세메다인 1개 추가로 15,852원 넘음</t>
        </is>
      </c>
    </row>
    <row r="156" ht="15" customHeight="1" s="28">
      <c r="A156" s="48" t="inlineStr">
        <is>
          <t>학교 주문 배송비 (학교 부담, 한도 밖)</t>
        </is>
      </c>
      <c r="B156" s="34" t="n"/>
      <c r="C156" s="34" t="n"/>
      <c r="D156" s="49">
        <f>D13+D18+D23+D29+D40+D45+D50+D56+D61+D72+D77</f>
        <v/>
      </c>
      <c r="E156" s="35" t="inlineStr">
        <is>
          <t>학교 지원 판매처들의 배송비 합</t>
        </is>
      </c>
      <c r="F156" s="34" t="n"/>
    </row>
    <row r="157" ht="15" customHeight="1" s="28">
      <c r="A157" s="48" t="inlineStr">
        <is>
          <t>사비 합계 (내가 내는 돈)</t>
        </is>
      </c>
      <c r="B157" s="34" t="n"/>
      <c r="C157" s="34" t="n"/>
      <c r="D157" s="49">
        <f>D154-D155-D156</f>
        <v/>
      </c>
      <c r="E157" s="35" t="inlineStr">
        <is>
          <t>총합 − 학교 지원 − 학교 주문 배송비</t>
        </is>
      </c>
      <c r="F157" s="34" t="n"/>
    </row>
    <row r="158" ht="15" customHeight="1" s="28"/>
    <row r="159" s="28">
      <c r="A159" s="54" t="inlineStr">
        <is>
          <t>· 이 목록에 없는 것: 최종 재료 페이지에서 끈 품목 81가지(이미 가진 부품·공구, 설계에서 빠진 것)와 무료 소프트웨어(FluidSynth, Salamander 피아노 음원 — 다운로드).</t>
        </is>
      </c>
    </row>
    <row r="160" ht="15" customHeight="1" s="28">
      <c r="A160" s="54" t="inlineStr">
        <is>
          <t>· 출처: 최종 재료 페이지 https://claude.ai/artifact/9CJ3HwhbhoodCAui94g28n (품목 사진·규격·쓰는 위치) + 사용자가 고른 상태(db state/main, 저장 2026-10-08).</t>
        </is>
      </c>
    </row>
    <row r="161" ht="15" customHeight="1" s="28">
      <c r="A161" s="54" t="inlineStr">
        <is>
          <t>· 배송비 줄: 무료 기준이 있는 판매처는 '그 판매처 물건값 ≥ 기준이면 0원' 수식입니다. 기준 금액은 VAT 포함으로 바꿔 적었습니다(예: 5만 원 VAT 별도 → 55,000원).</t>
        </is>
      </c>
    </row>
    <row r="162" ht="15" customHeight="1" s="28">
      <c r="A162" s="54" t="inlineStr">
        <is>
          <t>· 홀센서(100개)와 미스미 스프링(100개)은 구간 단가라, 갯수를 100개 밑으로 줄이면 단가가 올라갑니다(홀센서 1,023원, 스프링 365원) — 단가도 함께 고치세요.</t>
        </is>
      </c>
    </row>
    <row r="163" ht="15" customHeight="1" s="28">
      <c r="A163" s="54" t="inlineStr">
        <is>
          <t>· 생성기: hardware/bom/final-bom/build_order_xlsx.py</t>
        </is>
      </c>
    </row>
    <row r="164" ht="15" customHeight="1" s="28"/>
  </sheetData>
  <mergeCells count="1">
    <mergeCell ref="A2:F2"/>
  </mergeCells>
  <hyperlinks>
    <hyperlink xmlns:r="http://schemas.openxmlformats.org/officeDocument/2006/relationships" ref="E8" r:id="rId1"/>
    <hyperlink xmlns:r="http://schemas.openxmlformats.org/officeDocument/2006/relationships" ref="E9" r:id="rId2"/>
    <hyperlink xmlns:r="http://schemas.openxmlformats.org/officeDocument/2006/relationships" ref="E10" r:id="rId3"/>
    <hyperlink xmlns:r="http://schemas.openxmlformats.org/officeDocument/2006/relationships" ref="E11" r:id="rId4"/>
    <hyperlink xmlns:r="http://schemas.openxmlformats.org/officeDocument/2006/relationships" ref="E12" r:id="rId5"/>
    <hyperlink xmlns:r="http://schemas.openxmlformats.org/officeDocument/2006/relationships" ref="E17" r:id="rId6"/>
    <hyperlink xmlns:r="http://schemas.openxmlformats.org/officeDocument/2006/relationships" ref="E22" r:id="rId7"/>
    <hyperlink xmlns:r="http://schemas.openxmlformats.org/officeDocument/2006/relationships" ref="E27" r:id="rId8"/>
    <hyperlink xmlns:r="http://schemas.openxmlformats.org/officeDocument/2006/relationships" ref="E28" r:id="rId9"/>
    <hyperlink xmlns:r="http://schemas.openxmlformats.org/officeDocument/2006/relationships" ref="E33" r:id="rId10"/>
    <hyperlink xmlns:r="http://schemas.openxmlformats.org/officeDocument/2006/relationships" ref="E34" r:id="rId11"/>
    <hyperlink xmlns:r="http://schemas.openxmlformats.org/officeDocument/2006/relationships" ref="E35" r:id="rId12"/>
    <hyperlink xmlns:r="http://schemas.openxmlformats.org/officeDocument/2006/relationships" ref="E36" r:id="rId13"/>
    <hyperlink xmlns:r="http://schemas.openxmlformats.org/officeDocument/2006/relationships" ref="E37" r:id="rId14"/>
    <hyperlink xmlns:r="http://schemas.openxmlformats.org/officeDocument/2006/relationships" ref="E38" r:id="rId15"/>
    <hyperlink xmlns:r="http://schemas.openxmlformats.org/officeDocument/2006/relationships" ref="E39" r:id="rId16"/>
    <hyperlink xmlns:r="http://schemas.openxmlformats.org/officeDocument/2006/relationships" ref="E44" r:id="rId17"/>
    <hyperlink xmlns:r="http://schemas.openxmlformats.org/officeDocument/2006/relationships" ref="E49" r:id="rId18"/>
    <hyperlink xmlns:r="http://schemas.openxmlformats.org/officeDocument/2006/relationships" ref="E54" r:id="rId19"/>
    <hyperlink xmlns:r="http://schemas.openxmlformats.org/officeDocument/2006/relationships" ref="E55" r:id="rId20"/>
    <hyperlink xmlns:r="http://schemas.openxmlformats.org/officeDocument/2006/relationships" ref="E60" r:id="rId21"/>
    <hyperlink xmlns:r="http://schemas.openxmlformats.org/officeDocument/2006/relationships" ref="E65" r:id="rId22"/>
    <hyperlink xmlns:r="http://schemas.openxmlformats.org/officeDocument/2006/relationships" ref="E66" r:id="rId23"/>
    <hyperlink xmlns:r="http://schemas.openxmlformats.org/officeDocument/2006/relationships" ref="E67" r:id="rId24"/>
    <hyperlink xmlns:r="http://schemas.openxmlformats.org/officeDocument/2006/relationships" ref="E68" r:id="rId25"/>
    <hyperlink xmlns:r="http://schemas.openxmlformats.org/officeDocument/2006/relationships" ref="E69" r:id="rId26"/>
    <hyperlink xmlns:r="http://schemas.openxmlformats.org/officeDocument/2006/relationships" ref="E70" r:id="rId27"/>
    <hyperlink xmlns:r="http://schemas.openxmlformats.org/officeDocument/2006/relationships" ref="E71" r:id="rId28"/>
    <hyperlink xmlns:r="http://schemas.openxmlformats.org/officeDocument/2006/relationships" ref="E76" r:id="rId29"/>
    <hyperlink xmlns:r="http://schemas.openxmlformats.org/officeDocument/2006/relationships" ref="E82" r:id="rId30"/>
    <hyperlink xmlns:r="http://schemas.openxmlformats.org/officeDocument/2006/relationships" ref="E87" r:id="rId31"/>
    <hyperlink xmlns:r="http://schemas.openxmlformats.org/officeDocument/2006/relationships" ref="E88" r:id="rId32"/>
    <hyperlink xmlns:r="http://schemas.openxmlformats.org/officeDocument/2006/relationships" ref="E93" r:id="rId33"/>
    <hyperlink xmlns:r="http://schemas.openxmlformats.org/officeDocument/2006/relationships" ref="E98" r:id="rId34"/>
    <hyperlink xmlns:r="http://schemas.openxmlformats.org/officeDocument/2006/relationships" ref="E100" r:id="rId35"/>
    <hyperlink xmlns:r="http://schemas.openxmlformats.org/officeDocument/2006/relationships" ref="E101" r:id="rId36"/>
    <hyperlink xmlns:r="http://schemas.openxmlformats.org/officeDocument/2006/relationships" ref="E106" r:id="rId37"/>
    <hyperlink xmlns:r="http://schemas.openxmlformats.org/officeDocument/2006/relationships" ref="E107" r:id="rId38"/>
    <hyperlink xmlns:r="http://schemas.openxmlformats.org/officeDocument/2006/relationships" ref="E117" r:id="rId39"/>
    <hyperlink xmlns:r="http://schemas.openxmlformats.org/officeDocument/2006/relationships" ref="E122" r:id="rId40"/>
    <hyperlink xmlns:r="http://schemas.openxmlformats.org/officeDocument/2006/relationships" ref="E123" r:id="rId41"/>
    <hyperlink xmlns:r="http://schemas.openxmlformats.org/officeDocument/2006/relationships" ref="E128" r:id="rId42"/>
    <hyperlink xmlns:r="http://schemas.openxmlformats.org/officeDocument/2006/relationships" ref="E133" r:id="rId43"/>
    <hyperlink xmlns:r="http://schemas.openxmlformats.org/officeDocument/2006/relationships" ref="E138" r:id="rId44"/>
    <hyperlink xmlns:r="http://schemas.openxmlformats.org/officeDocument/2006/relationships" ref="E143" r:id="rId45"/>
    <hyperlink xmlns:r="http://schemas.openxmlformats.org/officeDocument/2006/relationships" ref="E144" r:id="rId46"/>
    <hyperlink xmlns:r="http://schemas.openxmlformats.org/officeDocument/2006/relationships" ref="E149" r:id="rId47"/>
  </hyperlinks>
  <printOptions horizontalCentered="1" verticalCentered="0" headings="0" gridLines="0" gridLinesSet="1"/>
  <pageMargins left="0.4" right="0.4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2026-10-07T16:09:55Z</dcterms:created>
  <dcterms:modified xmlns:dcterms="http://purl.org/dc/terms/" xmlns:xsi="http://www.w3.org/2001/XMLSchema-instance" xsi:type="dcterms:W3CDTF">2026-10-16T11:14:52Z</dcterms:modified>
  <cp:revision>0</cp:revision>
</cp:coreProperties>
</file>