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입항목" sheetId="1" state="visible" r:id="rId3"/>
  </sheets>
  <definedNames>
    <definedName function="false" hidden="false" localSheetId="0" name="_xlnm.Print_Titles" vbProcedure="false">구입항목!$4:$4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<sst xmlns="http://schemas.openxmlformats.org/spreadsheetml/2006/main" count="295" uniqueCount="238">
  <si>
    <t xml:space="preserve">Toccata 구입 항목 정리표 (최종)</t>
  </si>
  <si>
    <t xml:space="preserve">2026-10-08 정리 · 10/31 고침(A16 만능기판 8 × 12 4장 사비 추가) · 10/14 고침(USB 선 8가닥 사비 추가, 텅스텐 22 g, JST → 엘레파츠·100 nF → 디바이스마트 학교 주문, 터치스크린 알리 사비 구매) · 최종 재료 페이지에서 고른 그대로(가진 부품·공구 빼고, 예비 최소, 판매처 묶기·무료배송 맞추기 반영) · 단가는 VAT 포함 확인값이라 주문 전에 다시 확인 · 파란 글씨(단가·갯수)를 고치면 금액·배송비·합계가 다시 계산됩니다 · 10/16 고침(합판·목공본드 뺌 — 뒷바 판을 모두 PETG로 출력, A안) · 같은 날 검정 PETG 4 kg(사비)·세메다인 1개(학교) 추가</t>
  </si>
  <si>
    <t xml:space="preserve">품목</t>
  </si>
  <si>
    <t xml:space="preserve">단가</t>
  </si>
  <si>
    <t xml:space="preserve">갯수</t>
  </si>
  <si>
    <t xml:space="preserve">금액</t>
  </si>
  <si>
    <t xml:space="preserve">사이트 링크</t>
  </si>
  <si>
    <t xml:space="preserve">비고</t>
  </si>
  <si>
    <t xml:space="preserve">■ 학교 지원 주문 — 디바이스마트·엘레파츠·아이씨뱅큐·쿠팡, 물건값 200,000원 이내 (따로 결제, 배송비는 학교가 내고 한도에 넣지 않음)</t>
  </si>
  <si>
    <t xml:space="preserve">1. 아이씨뱅큐  (icbanq.com) · 학교 지원</t>
  </si>
  <si>
    <t xml:space="preserve">5품목 · 배송비 2,700원 · 55,000원 이상 무료</t>
  </si>
  <si>
    <t xml:space="preserve">학교 지원 주문 — 사비 주문과 따로 결제 (배송비는 학교, 20만 원 한도 밖) · Adafruit·AOFENG 줄에 배송비가 따로 붙는지 장바구니에서 확인</t>
  </si>
  <si>
    <t xml:space="preserve">홀센서 TI DRV5055A2QLPG</t>
  </si>
  <si>
    <t xml:space="preserve">icbanq.com/P018076669</t>
  </si>
  <si>
    <t xml:space="preserve">100개부터 구간 단가 891원 (89개 사용 + 예비, 89개만 사면 더 비쌈)</t>
  </si>
  <si>
    <t xml:space="preserve">캡스턴 나사 M3×6 버튼헤드 SUS304</t>
  </si>
  <si>
    <t xml:space="preserve">icbanq.com/P015973844</t>
  </si>
  <si>
    <t xml:space="preserve">최소 주문 100개</t>
  </si>
  <si>
    <t xml:space="preserve">스텐 렌치볼트 M2.5 × 6 — 50개 봉 (Pi 4 + 화면 4)</t>
  </si>
  <si>
    <t xml:space="preserve">icbanq.com/P015971543</t>
  </si>
  <si>
    <t xml:space="preserve">50개 단위(구매 수량 단위). Pi 4 + 화면 4(i210)</t>
  </si>
  <si>
    <t xml:space="preserve">1 µF 적층 세라믹 콘덴서 50 V</t>
  </si>
  <si>
    <t xml:space="preserve">icbanq.com/P014159115</t>
  </si>
  <si>
    <t xml:space="preserve">1 kΩ 1206 칩 저항 (Yageo)</t>
  </si>
  <si>
    <t xml:space="preserve">icbanq.com/P011433924</t>
  </si>
  <si>
    <t xml:space="preserve">10개 단위</t>
  </si>
  <si>
    <t xml:space="preserve">배송비</t>
  </si>
  <si>
    <t xml:space="preserve">아이씨뱅큐 소계 (물건값 + 배송비)</t>
  </si>
  <si>
    <t xml:space="preserve">2. 쿠팡 · 삼미 CW-100B25 판매자  (coupang.com) · 학교 지원</t>
  </si>
  <si>
    <t xml:space="preserve">1품목 · 배송비 4,000원 (무료 조건 없음)</t>
  </si>
  <si>
    <t xml:space="preserve">학교 지원 주문 — 사비 주문과 따로 결제 (배송비는 학교, 20만 원 한도 밖)</t>
  </si>
  <si>
    <t xml:space="preserve">삼미 CW-100B25 4인치 스피커 8 Ω</t>
  </si>
  <si>
    <t xml:space="preserve">coupang.com/vp/products/181380607?vendorItemI…</t>
  </si>
  <si>
    <t xml:space="preserve">같은 CW-100B25</t>
  </si>
  <si>
    <t xml:space="preserve">쿠팡 소계 (물건값 + 배송비)</t>
  </si>
  <si>
    <t xml:space="preserve">3. 쿠팡 · 세메다인 판매자  (coupang.com) · 학교 지원</t>
  </si>
  <si>
    <t xml:space="preserve">1품목 · 배송비 3,000원 (무료 조건 없음)</t>
  </si>
  <si>
    <t xml:space="preserve">세메다인 슈퍼X 8008 흑색 20 mL (MS 폴리머)</t>
  </si>
  <si>
    <t xml:space="preserve">coupang.com/vp/products/7839505281?vendorItem…</t>
  </si>
  <si>
    <t xml:space="preserve">흑색 (백색과 같은 8008) · 10/16 A안: 판 이음용으로 1개 더 (3개)</t>
  </si>
  <si>
    <t xml:space="preserve">4. 쿠팡 로켓배송  (coupang.com) · 학교 지원</t>
  </si>
  <si>
    <t xml:space="preserve">2품목 · 무료배송</t>
  </si>
  <si>
    <t xml:space="preserve">Apple USB-C 헤드폰 어댑터</t>
  </si>
  <si>
    <t xml:space="preserve">coupang.com/vp/products/169628214?vendorItemI…</t>
  </si>
  <si>
    <t xml:space="preserve">쿠팡 로켓 MW2Q3KH/A</t>
  </si>
  <si>
    <t xml:space="preserve">네오디뮴 자석 Ø8×3 12개 (뚜껑)</t>
  </si>
  <si>
    <t xml:space="preserve">coupang.com/vp/products/7589411879?vendorItem…</t>
  </si>
  <si>
    <t xml:space="preserve">12개 1세트</t>
  </si>
  <si>
    <t xml:space="preserve">쿠팡 로켓배송 소계 (물건값 + 배송비)</t>
  </si>
  <si>
    <t xml:space="preserve">5. 엘레파츠  (eleparts.co.kr) · 학교 지원</t>
  </si>
  <si>
    <t xml:space="preserve">7품목 · 배송비 3,000원 · 66,000원 이상 무료</t>
  </si>
  <si>
    <t xml:space="preserve">10 µF 1206 칩 콘덴서 16 V (삼성, 낱개)</t>
  </si>
  <si>
    <t xml:space="preserve">eleparts.co.kr/goods/view?no=2675965</t>
  </si>
  <si>
    <t xml:space="preserve">삼성 CL31A106KOHNNNE 낱개 16개 (10개 이상 253원)</t>
  </si>
  <si>
    <t xml:space="preserve">16심 리본 케이블 2651-16P (센서 선)</t>
  </si>
  <si>
    <t xml:space="preserve">eleparts.co.kr/goods/view?no=425</t>
  </si>
  <si>
    <t xml:space="preserve">1 m 단위 → 2 m</t>
  </si>
  <si>
    <t xml:space="preserve">3.5 mm 스테레오 AUX 선 3 m (페달)</t>
  </si>
  <si>
    <t xml:space="preserve">eleparts.co.kr/goods/view?no=2925651</t>
  </si>
  <si>
    <t xml:space="preserve">3.5 mm 스테레오 AUX 선 3 m 1가닥 (반으로 잘라 2가닥)</t>
  </si>
  <si>
    <t xml:space="preserve">3 m 1가닥을 반으로 잘라 W701·W702 두 가닥</t>
  </si>
  <si>
    <t xml:space="preserve">16심 리본 케이블 추가 1 m (배선용)</t>
  </si>
  <si>
    <t xml:space="preserve">같은 상품 1 m 더 (기판 배선)</t>
  </si>
  <si>
    <t xml:space="preserve">벨크로 링벨트 20 mm × 30 cm (배터리 고정)</t>
  </si>
  <si>
    <t xml:space="preserve">eleparts.co.kr/goods/view?no=12816289</t>
  </si>
  <si>
    <t xml:space="preserve">보조배터리 고정</t>
  </si>
  <si>
    <t xml:space="preserve">JST-XH 6핀 케이블 한 쌍 (Adafruit 4876)</t>
  </si>
  <si>
    <t xml:space="preserve">eleparts.co.kr/goods/view?no=19324904</t>
  </si>
  <si>
    <t xml:space="preserve">Adafruit 4876 한 쌍 × 2 (아이씨뱅큐는 견적 전용이라 10/14 엘레파츠로)</t>
  </si>
  <si>
    <t xml:space="preserve">엘레파츠 소계 (물건값 + 배송비)</t>
  </si>
  <si>
    <t xml:space="preserve">6. 쿠팡 · 화성고무 판매자  (coupang.com) · 학교 지원</t>
  </si>
  <si>
    <t xml:space="preserve">화성고무 피스고무발 28×5 (RUB-E2)</t>
  </si>
  <si>
    <t xml:space="preserve">coupang.com/vp/products/130058387?vendorItemI…</t>
  </si>
  <si>
    <t xml:space="preserve">20개 1봉</t>
  </si>
  <si>
    <t xml:space="preserve">7. 쿠팡 · 스튜디오분트  (coupang.com) · 학교 지원</t>
  </si>
  <si>
    <t xml:space="preserve">메리노 울 펠트 1T 20×30 cm (80 블랙)</t>
  </si>
  <si>
    <t xml:space="preserve">coupang.com/vp/products/6627385385?vendorItem…</t>
  </si>
  <si>
    <t xml:space="preserve">옵션 80.블랙 (재고 확인)</t>
  </si>
  <si>
    <t xml:space="preserve">8. 쿠팡 · 스텐환봉 절단판매(onezaze)  (coupang.com) · 학교 지원</t>
  </si>
  <si>
    <t xml:space="preserve">2품목 · 배송비 3,500원 (무료 조건 없음)</t>
  </si>
  <si>
    <t xml:space="preserve">SUS304 환봉 Ø4×1 m — 건반 봉</t>
  </si>
  <si>
    <t xml:space="preserve">coupang.com/vp/products/7575965502?vendorItem…</t>
  </si>
  <si>
    <t xml:space="preserve">건반 봉</t>
  </si>
  <si>
    <t xml:space="preserve">SUS304 환봉 Ø4×1 m — 레버 봉</t>
  </si>
  <si>
    <t xml:space="preserve">레버 봉</t>
  </si>
  <si>
    <t xml:space="preserve">9. 디바이스마트 · 입점 판매자(댐퍼)  (devicemart.co.kr) · 학교 지원</t>
  </si>
  <si>
    <t xml:space="preserve">1품목 · 배송비 3,500원 · 350,000원 이상 무료</t>
  </si>
  <si>
    <t xml:space="preserve">M3 방진 댐퍼(그로밋) 20개</t>
  </si>
  <si>
    <t xml:space="preserve">devicemart.co.kr/goods/view?no=16080883</t>
  </si>
  <si>
    <t xml:space="preserve">디바이스마트 소계 (물건값 + 배송비)</t>
  </si>
  <si>
    <t xml:space="preserve">10. 디바이스마트  (devicemart.co.kr) · 학교 지원</t>
  </si>
  <si>
    <t xml:space="preserve">7품목 · 배송비 2,700원 · 66,000원 이상 무료</t>
  </si>
  <si>
    <t xml:space="preserve">스텐 직결피스 8호 13 mm (고무발)</t>
  </si>
  <si>
    <t xml:space="preserve">devicemart.co.kr/goods/view?no=10912779</t>
  </si>
  <si>
    <t xml:space="preserve">스텐 렌치볼트 M4 × 12 (스피커 유닛)</t>
  </si>
  <si>
    <t xml:space="preserve">devicemart.co.kr/goods/view?no=10912479</t>
  </si>
  <si>
    <t xml:space="preserve">스텐 직결피스 8호 19 mm (그릴)</t>
  </si>
  <si>
    <t xml:space="preserve">devicemart.co.kr/goods/view?no=10912781</t>
  </si>
  <si>
    <t xml:space="preserve">PJ-313 3.5 mm 스테레오 잭</t>
  </si>
  <si>
    <t xml:space="preserve">devicemart.co.kr/goods/view?no=2674</t>
  </si>
  <si>
    <t xml:space="preserve">2개 사용 + 1 (엘레파츠 무료배송 맞춤)</t>
  </si>
  <si>
    <t xml:space="preserve">스텐 트러스 태핑 피스 M3 × 12 (허브 선반 받침)</t>
  </si>
  <si>
    <t xml:space="preserve">devicemart.co.kr/goods/view?no=10911806</t>
  </si>
  <si>
    <t xml:space="preserve">접시머리 직결피스 8호 13 mm (뒤판·배터리 받침, 철 백색 아연)</t>
  </si>
  <si>
    <t xml:space="preserve">devicemart.co.kr/goods/view?no=10912759</t>
  </si>
  <si>
    <t xml:space="preserve">10개 단위 · 철 백색 아연 (스텐 아님)</t>
  </si>
  <si>
    <t xml:space="preserve">100 nF 1206 칩 콘덴서 (삼성, 100 V)</t>
  </si>
  <si>
    <t xml:space="preserve">devicemart.co.kr/goods/view?no=14991278</t>
  </si>
  <si>
    <t xml:space="preserve">CL31B104KCFNNNE 100 V · 100개 (아이씨뱅큐는 최소 2,000개라 10/14 디바이스마트로)</t>
  </si>
  <si>
    <t xml:space="preserve">11. 쿠팡 · 흑연파우더 판매자  (coupang.com) · 학교 지원</t>
  </si>
  <si>
    <t xml:space="preserve">흑연 가루 30 ml (드로잉용 흑연 파우더 소)</t>
  </si>
  <si>
    <t xml:space="preserve">coupang.com/vp/products/8243268767?vendorItem…</t>
  </si>
  <si>
    <t xml:space="preserve">30 ml</t>
  </si>
  <si>
    <t xml:space="preserve">■ 사비 주문 (내가 내는 돈)</t>
  </si>
  <si>
    <t xml:space="preserve">12. 올스틸샵  (allsteelshop.com)</t>
  </si>
  <si>
    <t xml:space="preserve">1품목 · 배송비 3,500원 (무료 조건 없음)</t>
  </si>
  <si>
    <t xml:space="preserve">강철 띠 9T×19×1 m (강철 블록용)</t>
  </si>
  <si>
    <t xml:space="preserve">allsteelshop.com/product/squareplate/9t</t>
  </si>
  <si>
    <t xml:space="preserve">9T×19×1000 맞춤 재단 4장 = 블록 96개</t>
  </si>
  <si>
    <t xml:space="preserve">올스틸샵 소계 (물건값 + 배송비)</t>
  </si>
  <si>
    <t xml:space="preserve">13. 파츠파츠  (parts-parts.co.kr)</t>
  </si>
  <si>
    <t xml:space="preserve">2품목 · 배송비 3,000원 · 100,000원 이상 무료</t>
  </si>
  <si>
    <t xml:space="preserve">RP2040-Zero 보드 (PP-A799-2)</t>
  </si>
  <si>
    <t xml:space="preserve">parts-parts.co.kr/product/detail.html?product…</t>
  </si>
  <si>
    <t xml:space="preserve">모듈 7 + 페달 1</t>
  </si>
  <si>
    <t xml:space="preserve">16채널 먹스 모듈 CD74HC4067</t>
  </si>
  <si>
    <t xml:space="preserve">모듈마다 1개</t>
  </si>
  <si>
    <t xml:space="preserve">파츠파츠 소계 (물건값 + 배송비)</t>
  </si>
  <si>
    <t xml:space="preserve">14. 한국미스미  (kr.misumi-ec.com)</t>
  </si>
  <si>
    <t xml:space="preserve">1품목 · 무료배송</t>
  </si>
  <si>
    <t xml:space="preserve">미스미 토션스프링 C-UA90R5-3-0.5</t>
  </si>
  <si>
    <t xml:space="preserve">kr.misumi-ec.com/vona2/detail/110310556289/?H…</t>
  </si>
  <si>
    <t xml:space="preserve">100개부터 구간 단가 310원 · 다리를 22.3 / 8.0 mm로 잘라 씀</t>
  </si>
  <si>
    <t xml:space="preserve">한국미스미 소계 (물건값 + 배송비)</t>
  </si>
  <si>
    <t xml:space="preserve">15. 나비엠알오  (navimro.com)</t>
  </si>
  <si>
    <t xml:space="preserve">3품목 · 배송비 3,300원 · 55,000원 이상 무료</t>
  </si>
  <si>
    <t xml:space="preserve">5만 원(VAT 별도) 이상 무료 — 지금은 모자라 배송비 3,300원</t>
  </si>
  <si>
    <t xml:space="preserve">WAKI 하네나이트 1T 170×245 (HNT002)</t>
  </si>
  <si>
    <t xml:space="preserve">navimro.com/g/1029233/</t>
  </si>
  <si>
    <t xml:space="preserve">170×245 1장</t>
  </si>
  <si>
    <t xml:space="preserve">WAKI PORON 5T 점착 100×100 (PON-02)</t>
  </si>
  <si>
    <t xml:space="preserve">navimro.com/g/1028764/</t>
  </si>
  <si>
    <t xml:space="preserve">100×100 1장 (패드 128개)</t>
  </si>
  <si>
    <t xml:space="preserve">OHP 필름 A4 0.1 mm 20매 (PET 심용)</t>
  </si>
  <si>
    <t xml:space="preserve">navimro.com/g/37021/</t>
  </si>
  <si>
    <t xml:space="preserve">받으면 두께 0.1 mm인지 확인</t>
  </si>
  <si>
    <t xml:space="preserve">https://www.navimro.com/g/37021/</t>
  </si>
  <si>
    <t xml:space="preserve">나비엠알오 소계 (물건값 + 배송비)</t>
  </si>
  <si>
    <t xml:space="preserve">16. 나사코리아  (nasakorea.com)</t>
  </si>
  <si>
    <t xml:space="preserve">2품목 · 배송비 3,300원 · 100,000원 이상 무료</t>
  </si>
  <si>
    <t xml:space="preserve">밸런스 핀 Ø2×12 SUS304 (100개)</t>
  </si>
  <si>
    <t xml:space="preserve">nasakorea.com/goods/goods_view.php?goodsNo=60…</t>
  </si>
  <si>
    <t xml:space="preserve">100개 1봉</t>
  </si>
  <si>
    <t xml:space="preserve">손잡이볼트 M4 × 20 5개 (스피커 ↔ 가운데 결합)</t>
  </si>
  <si>
    <t xml:space="preserve">옵션 '4*20/5개/스텐304'</t>
  </si>
  <si>
    <t xml:space="preserve">https://nasakorea.com/goods/goods_view.php?goodsNo=6090</t>
  </si>
  <si>
    <t xml:space="preserve">나사코리아 소계 (물건값 + 배송비)</t>
  </si>
  <si>
    <t xml:space="preserve">17. 스튜디오분트  (studiobunt.com)</t>
  </si>
  <si>
    <t xml:space="preserve">1품목 · 배송비 3,000원 · 50,000원 이상 무료</t>
  </si>
  <si>
    <t xml:space="preserve">메리노 울 펠트 2T 20×30 cm (35 블랙)</t>
  </si>
  <si>
    <t xml:space="preserve">studiobunt.com/product/detail.html?product_no…</t>
  </si>
  <si>
    <t xml:space="preserve">쿠팡에 2 mm 없음 (10/8 확인) — 직영몰</t>
  </si>
  <si>
    <t xml:space="preserve">스튜디오분트 소계 (물건값 + 배송비)</t>
  </si>
  <si>
    <t xml:space="preserve">18. 상우아트  (11번가)</t>
  </si>
  <si>
    <t xml:space="preserve">2품목 · 배송비 3,000원 · 70,000원 이상 무료</t>
  </si>
  <si>
    <t xml:space="preserve">EVA 고밀도 폼 3T 330×490 검정</t>
  </si>
  <si>
    <t xml:space="preserve">11st.co.kr/products/7591566666</t>
  </si>
  <si>
    <t xml:space="preserve">330×490 3장</t>
  </si>
  <si>
    <t xml:space="preserve">대원 0.5T 접착 펠트지 30×45 (H-20 검정)</t>
  </si>
  <si>
    <t xml:space="preserve">11st.co.kr/products/8517880969</t>
  </si>
  <si>
    <t xml:space="preserve">쿠팡 상우아트에는 H-20 검정 없음 (10/8 확인) — 11번가</t>
  </si>
  <si>
    <t xml:space="preserve">상우아트 소계 (물건값 + 배송비)</t>
  </si>
  <si>
    <t xml:space="preserve">19. 대건상사  (dgmagnet.com)</t>
  </si>
  <si>
    <t xml:space="preserve">1품목 · 배송비 2,500원 · 50,000원 이상 무료</t>
  </si>
  <si>
    <t xml:space="preserve">네오디뮴 자석 Ø5×2 N35</t>
  </si>
  <si>
    <t xml:space="preserve">dgmagnet.com/product/초강력-네오디움-원형자석-5mm/13/</t>
  </si>
  <si>
    <t xml:space="preserve">89개 사용 + 예비</t>
  </si>
  <si>
    <t xml:space="preserve">https://www.11st.co.kr/products/8517880969</t>
  </si>
  <si>
    <t xml:space="preserve">대건상사 소계 (물건값 + 배송비)</t>
  </si>
  <si>
    <t xml:space="preserve">20. 골드그로브  (11번가)</t>
  </si>
  <si>
    <t xml:space="preserve">텅스텐 퍼티 22 g (낚시 싱커)</t>
  </si>
  <si>
    <t xml:space="preserve">11st.co.kr/products/9579455646</t>
  </si>
  <si>
    <t xml:space="preserve">22 g 1개 (10/10 구매, 무료배송)</t>
  </si>
  <si>
    <t xml:space="preserve">https://dgmagnet.com/product/초강력-네오디움-원형자석-5mm/13/</t>
  </si>
  <si>
    <t xml:space="preserve">골드그로브 소계 (물건값 + 배송비)</t>
  </si>
  <si>
    <t xml:space="preserve">21. 쿠팡 로켓배송  (coupang.com)</t>
  </si>
  <si>
    <t xml:space="preserve">와우회원 무료배송</t>
  </si>
  <si>
    <t xml:space="preserve">방울솜(폴리에스터) 1 kg — 흡음솜</t>
  </si>
  <si>
    <t xml:space="preserve">coupang.com/vp/products/8826157891?vendorItem…</t>
  </si>
  <si>
    <t xml:space="preserve">1 kg (300 g 대신)</t>
  </si>
  <si>
    <t xml:space="preserve">https://www.11st.co.kr/products/9579455646</t>
  </si>
  <si>
    <t xml:space="preserve">22. 엘레파츠  (eleparts.co.kr) · 사비</t>
  </si>
  <si>
    <t xml:space="preserve">2품목 · 배송비 3,000원 · 66,000원 이상 무료</t>
  </si>
  <si>
    <t xml:space="preserve">학교 엘레파츠 주문과 따로 결제 (10/14 추가 — USB 선 8가닥, 가진 것이 없어 사비로)</t>
  </si>
  <si>
    <t xml:space="preserve">USB-A → C 데이터 케이블 1 m (Coms NA993, 모듈 O1·O2)</t>
  </si>
  <si>
    <t xml:space="preserve">eleparts.co.kr/goods/view?no=4313490</t>
  </si>
  <si>
    <t xml:space="preserve">O1·O2 (CAD 경로 1 m)</t>
  </si>
  <si>
    <t xml:space="preserve">USB-A → C 데이터 케이블 50 cm (Coms HB466, 모듈 O3~O7·페달 보드)</t>
  </si>
  <si>
    <t xml:space="preserve">eleparts.co.kr/goods/view?no=12185313</t>
  </si>
  <si>
    <t xml:space="preserve">O3·O4·O7·페달 0.5 m 자리 + O5·O6 0.3 m 자리(남는 선은 묶음)</t>
  </si>
  <si>
    <t xml:space="preserve">23. AliExpress  (ko.aliexpress.com)</t>
  </si>
  <si>
    <t xml:space="preserve">1품목 · 배송비 별도 표기 없음 (0원으로 둠)</t>
  </si>
  <si>
    <t xml:space="preserve">10/14 사비 구매 — 해외 배송</t>
  </si>
  <si>
    <t xml:space="preserve">Waveshare 7-DSI-TOUCH-C 7인치 터치스크린</t>
  </si>
  <si>
    <t xml:space="preserve">ko.aliexpress.com/item/1005012020918299.html</t>
  </si>
  <si>
    <t xml:space="preserve">구성: 화면 + DSI 12 cm·FFC 200 mm ×2·전원선 2종·스탠드오프 (본체용 300 mm 리본은 따로)</t>
  </si>
  <si>
    <t xml:space="preserve">https://www.eleparts.co.kr/goods/view?no=12185313</t>
  </si>
  <si>
    <t xml:space="preserve">AliExpress 소계 (물건값 + 배송비)</t>
  </si>
  <si>
    <t xml:space="preserve">24. Bambu Lab KR 공식 스토어  (kr.store.bambulab.com)</t>
  </si>
  <si>
    <t xml:space="preserve">1품목 · 배송비 3,000원 · 70,000원 이상 무료</t>
  </si>
  <si>
    <t xml:space="preserve">10/16 사비 구매 — A안(합판 대신 판을 출력)으로 모자라는 검정 PETG</t>
  </si>
  <si>
    <t xml:space="preserve">Bambu PETG Basic 검정 1 kg 스풀 (판 출력 추가분)</t>
  </si>
  <si>
    <t xml:space="preserve">kr.store.bambulab.com/products/petg-basic</t>
  </si>
  <si>
    <t xml:space="preserve">블랙(30105) 스풀 포함 · 4개부터 15 % 할인(정가 19,000원) · 블랙 리필은 10/16 품절</t>
  </si>
  <si>
    <t xml:space="preserve">https://ko.aliexpress.com/item/1005012020918299.html</t>
  </si>
  <si>
    <t xml:space="preserve">Bambu Lab KR 공식 스토어 소계 (물건값 + 배송비)</t>
  </si>
  <si>
    <t xml:space="preserve">25. 디바이스마트  (devicemart.co.kr) · 사비</t>
  </si>
  <si>
    <t xml:space="preserve">1품목 · 배송비 2,700원 · 66,000원 이상 무료</t>
  </si>
  <si>
    <t xml:space="preserve">10/31 사비 구매 — A16: 제어 기판을 80 × 120 통째로 써서 가진 BE163 4장으로 모자라는 판</t>
  </si>
  <si>
    <t xml:space="preserve">양면 만능기판 8 × 12 cm 2.54 mm (Voltly VLT-PCB009, 제어 기판 3 + PED 1)</t>
  </si>
  <si>
    <t xml:space="preserve">devicemart.co.kr/goods/view?no=15960078</t>
  </si>
  <si>
    <t xml:space="preserve">제어 기판 MB 3장 + 페달 보드 1장(70 × 50 조각) · 구멍 수·두께 표기 없음 - 받으면 잼</t>
  </si>
  <si>
    <t xml:space="preserve">물건값 합계 (49품목)</t>
  </si>
  <si>
    <t xml:space="preserve">배송비 합계 (판매처 25곳)</t>
  </si>
  <si>
    <t xml:space="preserve">총합 (최종 가격)</t>
  </si>
  <si>
    <t xml:space="preserve">VAT 포함 · 배송비 포함</t>
  </si>
  <si>
    <t xml:space="preserve">학교 지원 합계 (한도 200,000원, 물건값만)</t>
  </si>
  <si>
    <t xml:space="preserve">학교 지원 주문의 물건값 합 (배송비 제외)</t>
  </si>
  <si>
    <t xml:space="preserve">학교 지원 주문의 물건값 합 (배송비 제외) · 10/14 JST·100 nF 판매처를 바꿔 한도를 7,852원 넘음 (사용자 확인) · 10/16 세메다인 1개 추가로 15,852원 넘음</t>
  </si>
  <si>
    <t xml:space="preserve">학교 주문 배송비 (학교 부담, 한도 밖)</t>
  </si>
  <si>
    <t xml:space="preserve">학교 지원 판매처들의 배송비 합</t>
  </si>
  <si>
    <t xml:space="preserve">사비 합계 (내가 내는 돈)</t>
  </si>
  <si>
    <t xml:space="preserve">총합 − 학교 지원 − 학교 주문 배송비</t>
  </si>
  <si>
    <t xml:space="preserve">· 이 목록에 없는 것: 최종 재료 페이지에서 끈 품목 81가지(이미 가진 부품·공구, 설계에서 빠진 것)와 무료 소프트웨어(FluidSynth, Salamander 피아노 음원 — 다운로드).</t>
  </si>
  <si>
    <t xml:space="preserve">· 출처: 최종 재료 페이지 https://claude.ai/artifact/9CJ3HwhbhoodCAui94g28n (품목 사진·규격·쓰는 위치) + 사용자가 고른 상태(db state/main, 저장 2026-10-08).</t>
  </si>
  <si>
    <t xml:space="preserve">· 배송비 줄: 무료 기준이 있는 판매처는 '그 판매처 물건값 ≥ 기준이면 0원' 수식입니다. 기준 금액은 VAT 포함으로 바꿔 적었습니다(예: 5만 원 VAT 별도 → 55,000원).</t>
  </si>
  <si>
    <t xml:space="preserve">· 홀센서(100개)와 미스미 스프링(100개)은 구간 단가라, 갯수를 100개 밑으로 줄이면 단가가 올라갑니다(홀센서 1,023원, 스프링 365원) — 단가도 함께 고치세요.</t>
  </si>
  <si>
    <t xml:space="preserve">· 생성기: hardware/bom/final-bom/build_order_xlsx.py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</si>
</sst>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B4F"/>
      <name val="Apple SD Gothic Neo"/>
      <family val="0"/>
      <charset val="1"/>
    </font>
    <font>
      <sz val="10"/>
      <color rgb="FF5A6B75"/>
      <name val="Apple SD Gothic Neo"/>
      <family val="0"/>
      <charset val="1"/>
    </font>
    <font>
      <b val="true"/>
      <sz val="11"/>
      <color rgb="FFFFFFFF"/>
      <name val="Apple SD Gothic Neo"/>
      <family val="0"/>
      <charset val="1"/>
    </font>
    <font>
      <b val="true"/>
      <sz val="12"/>
      <color rgb="FF0B3B4F"/>
      <name val="Apple SD Gothic Neo"/>
      <family val="0"/>
      <charset val="1"/>
    </font>
    <font>
      <sz val="11"/>
      <name val="Apple SD Gothic Neo"/>
      <family val="0"/>
      <charset val="1"/>
    </font>
    <font>
      <sz val="11"/>
      <color rgb="FF0000FF"/>
      <name val="Apple SD Gothic Neo"/>
      <family val="0"/>
      <charset val="1"/>
    </font>
    <font>
      <u val="single"/>
      <sz val="10.5"/>
      <color rgb="FF0563C1"/>
      <name val="Apple SD Gothic Neo"/>
      <family val="0"/>
      <charset val="1"/>
    </font>
    <font>
      <sz val="10.5"/>
      <color rgb="FF5A6B75"/>
      <name val="Apple SD Gothic Neo"/>
      <family val="0"/>
      <charset val="1"/>
    </font>
    <font>
      <b val="true"/>
      <sz val="11"/>
      <name val="Apple SD Gothic Neo"/>
      <family val="0"/>
      <charset val="1"/>
    </font>
    <font>
      <b val="true"/>
      <sz val="14"/>
      <color rgb="FFFFFFFF"/>
      <name val="Apple SD Gothic Neo"/>
      <family val="0"/>
      <charset val="1"/>
    </font>
    <font>
      <sz val="10.5"/>
      <color rgb="FFFFFFFF"/>
      <name val="Apple SD Gothic Ne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584"/>
        <bgColor rgb="FF0563C1"/>
      </patternFill>
    </fill>
    <fill>
      <patternFill patternType="solid">
        <fgColor rgb="FFE7EE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3"/>
      </bottom>
      <diagonal/>
    </border>
    <border diagonalUp="false" diagonalDown="false">
      <left/>
      <right/>
      <top style="thin">
        <color rgb="FF5A6B7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584"/>
      <rgbColor rgb="FFB7C9D3"/>
      <rgbColor rgb="FF808080"/>
      <rgbColor rgb="FF9999FF"/>
      <rgbColor rgb="FF993366"/>
      <rgbColor rgb="FFFFFFCC"/>
      <rgbColor rgb="FFE7EE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5"/>
      <rgbColor rgb="FF969696"/>
      <rgbColor rgb="FF0B3B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18076669" TargetMode="External"/><Relationship Id="rId2" Type="http://schemas.openxmlformats.org/officeDocument/2006/relationships/hyperlink" Target="https://www.icbanq.com/P015973844" TargetMode="External"/><Relationship Id="rId3" Type="http://schemas.openxmlformats.org/officeDocument/2006/relationships/hyperlink" Target="https://www.icbanq.com/P015971543" TargetMode="External"/><Relationship Id="rId4" Type="http://schemas.openxmlformats.org/officeDocument/2006/relationships/hyperlink" Target="https://www.icbanq.com/P014159115" TargetMode="External"/><Relationship Id="rId5" Type="http://schemas.openxmlformats.org/officeDocument/2006/relationships/hyperlink" Target="https://www.icbanq.com/P011433924" TargetMode="External"/><Relationship Id="rId6" Type="http://schemas.openxmlformats.org/officeDocument/2006/relationships/hyperlink" Target="https://www.coupang.com/vp/products/181380607?vendorItemId=4341984346" TargetMode="External"/><Relationship Id="rId7" Type="http://schemas.openxmlformats.org/officeDocument/2006/relationships/hyperlink" Target="https://www.coupang.com/vp/products/7839505281?vendorItemId=90922897918" TargetMode="External"/><Relationship Id="rId8" Type="http://schemas.openxmlformats.org/officeDocument/2006/relationships/hyperlink" Target="https://www.coupang.com/vp/products/169628214?vendorItemId=90711442678" TargetMode="External"/><Relationship Id="rId9" Type="http://schemas.openxmlformats.org/officeDocument/2006/relationships/hyperlink" Target="https://www.coupang.com/vp/products/7589411879?vendorItemId=87148299583" TargetMode="External"/><Relationship Id="rId10" Type="http://schemas.openxmlformats.org/officeDocument/2006/relationships/hyperlink" Target="https://www.eleparts.co.kr/goods/view?no=2675965" TargetMode="External"/><Relationship Id="rId11" Type="http://schemas.openxmlformats.org/officeDocument/2006/relationships/hyperlink" Target="https://www.eleparts.co.kr/goods/view?no=425" TargetMode="External"/><Relationship Id="rId12" Type="http://schemas.openxmlformats.org/officeDocument/2006/relationships/hyperlink" Target="https://www.eleparts.co.kr/goods/view?no=2925651" TargetMode="External"/><Relationship Id="rId13" Type="http://schemas.openxmlformats.org/officeDocument/2006/relationships/hyperlink" Target="https://www.eleparts.co.kr/goods/view?no=2925651" TargetMode="External"/><Relationship Id="rId14" Type="http://schemas.openxmlformats.org/officeDocument/2006/relationships/hyperlink" Target="https://www.eleparts.co.kr/goods/view?no=425" TargetMode="External"/><Relationship Id="rId15" Type="http://schemas.openxmlformats.org/officeDocument/2006/relationships/hyperlink" Target="https://www.eleparts.co.kr/goods/view?no=12816289" TargetMode="External"/><Relationship Id="rId16" Type="http://schemas.openxmlformats.org/officeDocument/2006/relationships/hyperlink" Target="https://www.eleparts.co.kr/goods/view?no=19324904" TargetMode="External"/><Relationship Id="rId17" Type="http://schemas.openxmlformats.org/officeDocument/2006/relationships/hyperlink" Target="https://www.coupang.com/vp/products/130058387?vendorItemId=3929147929" TargetMode="External"/><Relationship Id="rId18" Type="http://schemas.openxmlformats.org/officeDocument/2006/relationships/hyperlink" Target="https://www.coupang.com/vp/products/6627385385?vendorItemId=82316320569" TargetMode="External"/><Relationship Id="rId19" Type="http://schemas.openxmlformats.org/officeDocument/2006/relationships/hyperlink" Target="https://www.coupang.com/vp/products/7575965502?vendorItemId=87087416424" TargetMode="External"/><Relationship Id="rId20" Type="http://schemas.openxmlformats.org/officeDocument/2006/relationships/hyperlink" Target="https://www.coupang.com/vp/products/7575965502?vendorItemId=87087416424" TargetMode="External"/><Relationship Id="rId21" Type="http://schemas.openxmlformats.org/officeDocument/2006/relationships/hyperlink" Target="https://www.devicemart.co.kr/goods/view?no=16080883" TargetMode="External"/><Relationship Id="rId22" Type="http://schemas.openxmlformats.org/officeDocument/2006/relationships/hyperlink" Target="https://www.devicemart.co.kr/goods/view?no=10912779" TargetMode="External"/><Relationship Id="rId23" Type="http://schemas.openxmlformats.org/officeDocument/2006/relationships/hyperlink" Target="https://www.devicemart.co.kr/goods/view?no=10912479" TargetMode="External"/><Relationship Id="rId24" Type="http://schemas.openxmlformats.org/officeDocument/2006/relationships/hyperlink" Target="https://www.devicemart.co.kr/goods/view?no=10912781" TargetMode="External"/><Relationship Id="rId25" Type="http://schemas.openxmlformats.org/officeDocument/2006/relationships/hyperlink" Target="https://www.devicemart.co.kr/goods/view?no=2674" TargetMode="External"/><Relationship Id="rId26" Type="http://schemas.openxmlformats.org/officeDocument/2006/relationships/hyperlink" Target="https://www.devicemart.co.kr/goods/view?no=10911806" TargetMode="External"/><Relationship Id="rId27" Type="http://schemas.openxmlformats.org/officeDocument/2006/relationships/hyperlink" Target="https://www.devicemart.co.kr/goods/view?no=10912759" TargetMode="External"/><Relationship Id="rId28" Type="http://schemas.openxmlformats.org/officeDocument/2006/relationships/hyperlink" Target="https://www.devicemart.co.kr/goods/view?no=14991278" TargetMode="External"/><Relationship Id="rId29" Type="http://schemas.openxmlformats.org/officeDocument/2006/relationships/hyperlink" Target="https://www.coupang.com/vp/products/8243268767?vendorItemId=90747166966" TargetMode="External"/><Relationship Id="rId30" Type="http://schemas.openxmlformats.org/officeDocument/2006/relationships/hyperlink" Target="https://www.allsteelshop.com/product/squareplate/9t" TargetMode="External"/><Relationship Id="rId31" Type="http://schemas.openxmlformats.org/officeDocument/2006/relationships/hyperlink" Target="https://parts-parts.co.kr/product/detail.html?product_no=2383" TargetMode="External"/><Relationship Id="rId32" Type="http://schemas.openxmlformats.org/officeDocument/2006/relationships/hyperlink" Target="https://parts-parts.co.kr/product/detail.html?product_no=303" TargetMode="External"/><Relationship Id="rId33" Type="http://schemas.openxmlformats.org/officeDocument/2006/relationships/hyperlink" Target="https://kr.misumi-ec.com/vona2/detail/110310556289/?HissuCode=C-UA90R5-3-0.5" TargetMode="External"/><Relationship Id="rId34" Type="http://schemas.openxmlformats.org/officeDocument/2006/relationships/hyperlink" Target="https://www.navimro.com/g/1029233/" TargetMode="External"/><Relationship Id="rId35" Type="http://schemas.openxmlformats.org/officeDocument/2006/relationships/hyperlink" Target="https://www.navimro.com/g/1028764/" TargetMode="External"/><Relationship Id="rId36" Type="http://schemas.openxmlformats.org/officeDocument/2006/relationships/hyperlink" Target="https://www.navimro.com/g/37021/" TargetMode="External"/><Relationship Id="rId37" Type="http://schemas.openxmlformats.org/officeDocument/2006/relationships/hyperlink" Target="https://www.nasakorea.com/goods/goods_view.php?goodsNo=6009" TargetMode="External"/><Relationship Id="rId38" Type="http://schemas.openxmlformats.org/officeDocument/2006/relationships/hyperlink" Target="https://nasakorea.com/goods/goods_view.php?goodsNo=6090" TargetMode="External"/><Relationship Id="rId39" Type="http://schemas.openxmlformats.org/officeDocument/2006/relationships/hyperlink" Target="https://studiobunt.com/product/detail.html?product_no=4117" TargetMode="External"/><Relationship Id="rId40" Type="http://schemas.openxmlformats.org/officeDocument/2006/relationships/hyperlink" Target="https://www.11st.co.kr/products/7591566666" TargetMode="External"/><Relationship Id="rId41" Type="http://schemas.openxmlformats.org/officeDocument/2006/relationships/hyperlink" Target="https://www.11st.co.kr/products/8517880969" TargetMode="External"/><Relationship Id="rId42" Type="http://schemas.openxmlformats.org/officeDocument/2006/relationships/hyperlink" Target="https://dgmagnet.com/product/&#52488;&#44053;&#47141;-&#45348;&#50724;&#46356;&#50880;-&#50896;&#54805;&#51088;&#49437;-5mm/13/" TargetMode="External"/><Relationship Id="rId43" Type="http://schemas.openxmlformats.org/officeDocument/2006/relationships/hyperlink" Target="https://www.11st.co.kr/products/9579455646" TargetMode="External"/><Relationship Id="rId44" Type="http://schemas.openxmlformats.org/officeDocument/2006/relationships/hyperlink" Target="https://www.coupang.com/vp/products/8826157891?vendorItemId=92708146513" TargetMode="External"/><Relationship Id="rId45" Type="http://schemas.openxmlformats.org/officeDocument/2006/relationships/hyperlink" Target="https://www.eleparts.co.kr/goods/view?no=4313490" TargetMode="External"/><Relationship Id="rId46" Type="http://schemas.openxmlformats.org/officeDocument/2006/relationships/hyperlink" Target="https://www.eleparts.co.kr/goods/view?no=12185313" TargetMode="External"/><Relationship Id="rId47" Type="http://schemas.openxmlformats.org/officeDocument/2006/relationships/hyperlink" Target="https://ko.aliexpress.com/item/1005012020918299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5"/>
    <col collapsed="false" customWidth="true" hidden="false" outlineLevel="0" max="5" min="5" style="1" width="48"/>
    <col collapsed="false" customWidth="true" hidden="false" outlineLevel="0" max="6" min="6" style="1" width="46"/>
  </cols>
  <sheetData>
    <row r="1" customFormat="false" ht="27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4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customFormat="false" ht="15" hidden="false" customHeight="true" outlineLevel="0" collapsed="false">
      <c r="A6" s="5" t="s">
        <v>8</v>
      </c>
    </row>
    <row r="7" customFormat="false" ht="24" hidden="false" customHeight="true" outlineLevel="0" collapsed="false">
      <c r="A7" s="6" t="s">
        <v>9</v>
      </c>
      <c r="B7" s="7"/>
      <c r="C7" s="7"/>
      <c r="D7" s="7"/>
      <c r="E7" s="8" t="s">
        <v>10</v>
      </c>
      <c r="F7" s="9" t="s">
        <v>11</v>
      </c>
    </row>
    <row r="8" customFormat="false" ht="24.75" hidden="false" customHeight="true" outlineLevel="0" collapsed="false">
      <c r="A8" s="10" t="s">
        <v>12</v>
      </c>
      <c r="B8" s="11" t="n">
        <v>891</v>
      </c>
      <c r="C8" s="12" t="n">
        <v>100</v>
      </c>
      <c r="D8" s="13" t="n">
        <f aca="false">B8*C8</f>
        <v>89100</v>
      </c>
      <c r="E8" s="14" t="s">
        <v>13</v>
      </c>
      <c r="F8" s="15" t="s">
        <v>14</v>
      </c>
    </row>
    <row r="9" customFormat="false" ht="15" hidden="false" customHeight="true" outlineLevel="0" collapsed="false">
      <c r="A9" s="10" t="s">
        <v>15</v>
      </c>
      <c r="B9" s="11" t="n">
        <v>11</v>
      </c>
      <c r="C9" s="12" t="n">
        <v>100</v>
      </c>
      <c r="D9" s="13" t="n">
        <f aca="false">B9*C9</f>
        <v>1100</v>
      </c>
      <c r="E9" s="14" t="s">
        <v>16</v>
      </c>
      <c r="F9" s="15" t="s">
        <v>17</v>
      </c>
    </row>
    <row r="10" customFormat="false" ht="15" hidden="false" customHeight="true" outlineLevel="0" collapsed="false">
      <c r="A10" s="10" t="s">
        <v>18</v>
      </c>
      <c r="B10" s="11" t="n">
        <v>11</v>
      </c>
      <c r="C10" s="12" t="n">
        <v>50</v>
      </c>
      <c r="D10" s="13" t="n">
        <f aca="false">B10*C10</f>
        <v>550</v>
      </c>
      <c r="E10" s="14" t="s">
        <v>19</v>
      </c>
      <c r="F10" s="15" t="s">
        <v>20</v>
      </c>
    </row>
    <row r="11" customFormat="false" ht="15" hidden="false" customHeight="true" outlineLevel="0" collapsed="false">
      <c r="A11" s="10" t="s">
        <v>21</v>
      </c>
      <c r="B11" s="11" t="n">
        <v>133</v>
      </c>
      <c r="C11" s="12" t="n">
        <v>4</v>
      </c>
      <c r="D11" s="13" t="n">
        <f aca="false">B11*C11</f>
        <v>532</v>
      </c>
      <c r="E11" s="14" t="s">
        <v>22</v>
      </c>
      <c r="F11" s="15"/>
    </row>
    <row r="12" customFormat="false" ht="15" hidden="false" customHeight="true" outlineLevel="0" collapsed="false">
      <c r="A12" s="10" t="s">
        <v>23</v>
      </c>
      <c r="B12" s="11" t="n">
        <v>44</v>
      </c>
      <c r="C12" s="12" t="n">
        <v>10</v>
      </c>
      <c r="D12" s="13" t="n">
        <f aca="false">B12*C12</f>
        <v>440</v>
      </c>
      <c r="E12" s="14" t="s">
        <v>24</v>
      </c>
      <c r="F12" s="15" t="s">
        <v>25</v>
      </c>
    </row>
    <row r="13" customFormat="false" ht="15" hidden="false" customHeight="true" outlineLevel="0" collapsed="false">
      <c r="A13" s="16" t="s">
        <v>26</v>
      </c>
      <c r="D13" s="17" t="n">
        <f aca="false">IF(SUM(D8:D12)&gt;=55000,0,2700)</f>
        <v>0</v>
      </c>
    </row>
    <row r="14" customFormat="false" ht="15" hidden="false" customHeight="true" outlineLevel="0" collapsed="false">
      <c r="A14" s="18" t="s">
        <v>27</v>
      </c>
      <c r="B14" s="19"/>
      <c r="C14" s="19"/>
      <c r="D14" s="20" t="n">
        <f aca="false">SUM(D8:D12)+D13</f>
        <v>91722</v>
      </c>
      <c r="E14" s="19"/>
      <c r="F14" s="19"/>
    </row>
    <row r="16" customFormat="false" ht="24" hidden="false" customHeight="true" outlineLevel="0" collapsed="false">
      <c r="A16" s="6" t="s">
        <v>28</v>
      </c>
      <c r="B16" s="7"/>
      <c r="C16" s="7"/>
      <c r="D16" s="7"/>
      <c r="E16" s="8" t="s">
        <v>29</v>
      </c>
      <c r="F16" s="9" t="s">
        <v>30</v>
      </c>
    </row>
    <row r="17" customFormat="false" ht="15" hidden="false" customHeight="true" outlineLevel="0" collapsed="false">
      <c r="A17" s="10" t="s">
        <v>31</v>
      </c>
      <c r="B17" s="11" t="n">
        <v>8500</v>
      </c>
      <c r="C17" s="12" t="n">
        <v>2</v>
      </c>
      <c r="D17" s="13" t="n">
        <f aca="false">B17*C17</f>
        <v>17000</v>
      </c>
      <c r="E17" s="14" t="s">
        <v>32</v>
      </c>
      <c r="F17" s="15" t="s">
        <v>33</v>
      </c>
    </row>
    <row r="18" customFormat="false" ht="15" hidden="false" customHeight="true" outlineLevel="0" collapsed="false">
      <c r="A18" s="16" t="s">
        <v>26</v>
      </c>
      <c r="D18" s="17" t="n">
        <v>4000</v>
      </c>
    </row>
    <row r="19" customFormat="false" ht="15" hidden="false" customHeight="true" outlineLevel="0" collapsed="false">
      <c r="A19" s="18" t="s">
        <v>34</v>
      </c>
      <c r="B19" s="19"/>
      <c r="C19" s="19"/>
      <c r="D19" s="20" t="n">
        <f aca="false">SUM(D17)+D18</f>
        <v>21000</v>
      </c>
      <c r="E19" s="19"/>
      <c r="F19" s="19"/>
    </row>
    <row r="21" customFormat="false" ht="24" hidden="false" customHeight="true" outlineLevel="0" collapsed="false">
      <c r="A21" s="6" t="s">
        <v>35</v>
      </c>
      <c r="B21" s="7"/>
      <c r="C21" s="7"/>
      <c r="D21" s="7"/>
      <c r="E21" s="8" t="s">
        <v>36</v>
      </c>
      <c r="F21" s="9" t="s">
        <v>30</v>
      </c>
    </row>
    <row r="22" customFormat="false" ht="15" hidden="false" customHeight="true" outlineLevel="0" collapsed="false">
      <c r="A22" s="10" t="s">
        <v>37</v>
      </c>
      <c r="B22" s="11" t="n">
        <v>8000</v>
      </c>
      <c r="C22" s="12" t="n">
        <v>3</v>
      </c>
      <c r="D22" s="13" t="n">
        <f aca="false">B22*C22</f>
        <v>24000</v>
      </c>
      <c r="E22" s="14" t="s">
        <v>38</v>
      </c>
      <c r="F22" s="15" t="s">
        <v>39</v>
      </c>
    </row>
    <row r="23" customFormat="false" ht="15" hidden="false" customHeight="true" outlineLevel="0" collapsed="false">
      <c r="A23" s="16" t="s">
        <v>26</v>
      </c>
      <c r="D23" s="17" t="n">
        <v>3000</v>
      </c>
    </row>
    <row r="24" customFormat="false" ht="15" hidden="false" customHeight="true" outlineLevel="0" collapsed="false">
      <c r="A24" s="18" t="s">
        <v>34</v>
      </c>
      <c r="B24" s="19"/>
      <c r="C24" s="19"/>
      <c r="D24" s="20" t="n">
        <f aca="false">SUM(D22)+D23</f>
        <v>27000</v>
      </c>
      <c r="E24" s="19"/>
      <c r="F24" s="19"/>
    </row>
    <row r="26" customFormat="false" ht="24" hidden="false" customHeight="true" outlineLevel="0" collapsed="false">
      <c r="A26" s="6" t="s">
        <v>40</v>
      </c>
      <c r="B26" s="7"/>
      <c r="C26" s="7"/>
      <c r="D26" s="7"/>
      <c r="E26" s="8" t="s">
        <v>41</v>
      </c>
      <c r="F26" s="9" t="s">
        <v>30</v>
      </c>
    </row>
    <row r="27" customFormat="false" ht="15" hidden="false" customHeight="true" outlineLevel="0" collapsed="false">
      <c r="A27" s="10" t="s">
        <v>42</v>
      </c>
      <c r="B27" s="11" t="n">
        <v>14260</v>
      </c>
      <c r="C27" s="12" t="n">
        <v>1</v>
      </c>
      <c r="D27" s="13" t="n">
        <f aca="false">B27*C27</f>
        <v>14260</v>
      </c>
      <c r="E27" s="14" t="s">
        <v>43</v>
      </c>
      <c r="F27" s="15" t="s">
        <v>44</v>
      </c>
    </row>
    <row r="28" customFormat="false" ht="15" hidden="false" customHeight="true" outlineLevel="0" collapsed="false">
      <c r="A28" s="10" t="s">
        <v>45</v>
      </c>
      <c r="B28" s="11" t="n">
        <v>3890</v>
      </c>
      <c r="C28" s="12" t="n">
        <v>1</v>
      </c>
      <c r="D28" s="13" t="n">
        <f aca="false">B28*C28</f>
        <v>3890</v>
      </c>
      <c r="E28" s="14" t="s">
        <v>46</v>
      </c>
      <c r="F28" s="15" t="s">
        <v>47</v>
      </c>
    </row>
    <row r="29" customFormat="false" ht="15" hidden="false" customHeight="true" outlineLevel="0" collapsed="false">
      <c r="A29" s="16" t="s">
        <v>26</v>
      </c>
      <c r="D29" s="17" t="n">
        <v>0</v>
      </c>
    </row>
    <row r="30" customFormat="false" ht="15" hidden="false" customHeight="true" outlineLevel="0" collapsed="false">
      <c r="A30" s="18" t="s">
        <v>48</v>
      </c>
      <c r="B30" s="19"/>
      <c r="C30" s="19"/>
      <c r="D30" s="20" t="n">
        <f aca="false">SUM(D27:D28)+D29</f>
        <v>18150</v>
      </c>
      <c r="E30" s="19"/>
      <c r="F30" s="19"/>
    </row>
    <row r="32" customFormat="false" ht="24" hidden="false" customHeight="true" outlineLevel="0" collapsed="false">
      <c r="A32" s="6" t="s">
        <v>49</v>
      </c>
      <c r="B32" s="7"/>
      <c r="C32" s="7"/>
      <c r="D32" s="7"/>
      <c r="E32" s="8" t="s">
        <v>50</v>
      </c>
      <c r="F32" s="9" t="s">
        <v>30</v>
      </c>
    </row>
    <row r="33" customFormat="false" ht="15" hidden="false" customHeight="true" outlineLevel="0" collapsed="false">
      <c r="A33" s="10" t="s">
        <v>51</v>
      </c>
      <c r="B33" s="11" t="n">
        <v>253</v>
      </c>
      <c r="C33" s="12" t="n">
        <v>16</v>
      </c>
      <c r="D33" s="13" t="n">
        <f aca="false">B33*C33</f>
        <v>4048</v>
      </c>
      <c r="E33" s="14" t="s">
        <v>52</v>
      </c>
      <c r="F33" s="15" t="s">
        <v>53</v>
      </c>
    </row>
    <row r="34" customFormat="false" ht="15" hidden="false" customHeight="true" outlineLevel="0" collapsed="false">
      <c r="A34" s="10" t="s">
        <v>54</v>
      </c>
      <c r="B34" s="11" t="n">
        <v>1529</v>
      </c>
      <c r="C34" s="12" t="n">
        <v>2</v>
      </c>
      <c r="D34" s="13" t="n">
        <f aca="false">B34*C34</f>
        <v>3058</v>
      </c>
      <c r="E34" s="14" t="s">
        <v>55</v>
      </c>
      <c r="F34" s="15" t="s">
        <v>56</v>
      </c>
    </row>
    <row r="35" customFormat="false" ht="15" hidden="false" customHeight="true" outlineLevel="0" collapsed="false">
      <c r="A35" s="10" t="s">
        <v>57</v>
      </c>
      <c r="B35" s="11" t="n">
        <v>2550</v>
      </c>
      <c r="C35" s="12" t="n">
        <v>1</v>
      </c>
      <c r="D35" s="13" t="n">
        <f aca="false">B35*C35</f>
        <v>2550</v>
      </c>
      <c r="E35" s="14" t="s">
        <v>58</v>
      </c>
      <c r="F35" s="15"/>
    </row>
    <row r="36" customFormat="false" ht="29.25" hidden="false" customHeight="true" outlineLevel="0" collapsed="false">
      <c r="A36" s="10" t="s">
        <v>59</v>
      </c>
      <c r="B36" s="11" t="n">
        <v>2550</v>
      </c>
      <c r="C36" s="12" t="n">
        <v>1</v>
      </c>
      <c r="D36" s="13" t="n">
        <f aca="false">B36*C36</f>
        <v>2550</v>
      </c>
      <c r="E36" s="14" t="s">
        <v>58</v>
      </c>
      <c r="F36" s="15" t="s">
        <v>60</v>
      </c>
    </row>
    <row r="37" customFormat="false" ht="15" hidden="false" customHeight="true" outlineLevel="0" collapsed="false">
      <c r="A37" s="10" t="s">
        <v>61</v>
      </c>
      <c r="B37" s="11" t="n">
        <v>1529</v>
      </c>
      <c r="C37" s="12" t="n">
        <v>1</v>
      </c>
      <c r="D37" s="13" t="n">
        <f aca="false">B37*C37</f>
        <v>1529</v>
      </c>
      <c r="E37" s="14" t="s">
        <v>55</v>
      </c>
      <c r="F37" s="15" t="s">
        <v>62</v>
      </c>
    </row>
    <row r="38" customFormat="false" ht="15" hidden="false" customHeight="true" outlineLevel="0" collapsed="false">
      <c r="A38" s="10" t="s">
        <v>63</v>
      </c>
      <c r="B38" s="11" t="n">
        <v>863</v>
      </c>
      <c r="C38" s="12" t="n">
        <v>1</v>
      </c>
      <c r="D38" s="13" t="n">
        <f aca="false">B38*C38</f>
        <v>863</v>
      </c>
      <c r="E38" s="14" t="s">
        <v>64</v>
      </c>
      <c r="F38" s="15" t="s">
        <v>65</v>
      </c>
    </row>
    <row r="39" customFormat="false" ht="24.75" hidden="false" customHeight="true" outlineLevel="0" collapsed="false">
      <c r="A39" s="10" t="s">
        <v>66</v>
      </c>
      <c r="B39" s="11" t="n">
        <v>2230</v>
      </c>
      <c r="C39" s="12" t="n">
        <v>2</v>
      </c>
      <c r="D39" s="13" t="n">
        <f aca="false">B39*C39</f>
        <v>4460</v>
      </c>
      <c r="E39" s="14" t="s">
        <v>67</v>
      </c>
      <c r="F39" s="15" t="s">
        <v>68</v>
      </c>
    </row>
    <row r="40" customFormat="false" ht="15" hidden="false" customHeight="true" outlineLevel="0" collapsed="false">
      <c r="A40" s="16" t="s">
        <v>26</v>
      </c>
      <c r="D40" s="17" t="n">
        <f aca="false">IF(SUM(D33:D39)&gt;=66000,0,3000)</f>
        <v>3000</v>
      </c>
    </row>
    <row r="41" customFormat="false" ht="15" hidden="false" customHeight="true" outlineLevel="0" collapsed="false">
      <c r="A41" s="18" t="s">
        <v>69</v>
      </c>
      <c r="B41" s="19"/>
      <c r="C41" s="19"/>
      <c r="D41" s="20" t="n">
        <f aca="false">SUM(D33:D39)+D40</f>
        <v>22058</v>
      </c>
      <c r="E41" s="19"/>
      <c r="F41" s="19"/>
    </row>
    <row r="43" customFormat="false" ht="24" hidden="false" customHeight="true" outlineLevel="0" collapsed="false">
      <c r="A43" s="6" t="s">
        <v>70</v>
      </c>
      <c r="B43" s="7"/>
      <c r="C43" s="7"/>
      <c r="D43" s="7"/>
      <c r="E43" s="8" t="s">
        <v>36</v>
      </c>
      <c r="F43" s="9" t="s">
        <v>30</v>
      </c>
    </row>
    <row r="44" customFormat="false" ht="15" hidden="false" customHeight="true" outlineLevel="0" collapsed="false">
      <c r="A44" s="10" t="s">
        <v>71</v>
      </c>
      <c r="B44" s="11" t="n">
        <v>433</v>
      </c>
      <c r="C44" s="12" t="n">
        <v>20</v>
      </c>
      <c r="D44" s="13" t="n">
        <f aca="false">B44*C44</f>
        <v>8660</v>
      </c>
      <c r="E44" s="14" t="s">
        <v>72</v>
      </c>
      <c r="F44" s="15" t="s">
        <v>73</v>
      </c>
    </row>
    <row r="45" customFormat="false" ht="15" hidden="false" customHeight="true" outlineLevel="0" collapsed="false">
      <c r="A45" s="16" t="s">
        <v>26</v>
      </c>
      <c r="D45" s="17" t="n">
        <v>3000</v>
      </c>
    </row>
    <row r="46" customFormat="false" ht="15" hidden="false" customHeight="true" outlineLevel="0" collapsed="false">
      <c r="A46" s="18" t="s">
        <v>34</v>
      </c>
      <c r="B46" s="19"/>
      <c r="C46" s="19"/>
      <c r="D46" s="20" t="n">
        <f aca="false">SUM(D44)+D45</f>
        <v>11660</v>
      </c>
      <c r="E46" s="19"/>
      <c r="F46" s="19"/>
    </row>
    <row r="48" customFormat="false" ht="24" hidden="false" customHeight="true" outlineLevel="0" collapsed="false">
      <c r="A48" s="6" t="s">
        <v>74</v>
      </c>
      <c r="B48" s="7"/>
      <c r="C48" s="7"/>
      <c r="D48" s="7"/>
      <c r="E48" s="8" t="s">
        <v>36</v>
      </c>
      <c r="F48" s="9" t="s">
        <v>30</v>
      </c>
    </row>
    <row r="49" customFormat="false" ht="15" hidden="false" customHeight="true" outlineLevel="0" collapsed="false">
      <c r="A49" s="10" t="s">
        <v>75</v>
      </c>
      <c r="B49" s="11" t="n">
        <v>6900</v>
      </c>
      <c r="C49" s="12" t="n">
        <v>1</v>
      </c>
      <c r="D49" s="13" t="n">
        <f aca="false">B49*C49</f>
        <v>6900</v>
      </c>
      <c r="E49" s="14" t="s">
        <v>76</v>
      </c>
      <c r="F49" s="15" t="s">
        <v>77</v>
      </c>
    </row>
    <row r="50" customFormat="false" ht="15" hidden="false" customHeight="true" outlineLevel="0" collapsed="false">
      <c r="A50" s="16" t="s">
        <v>26</v>
      </c>
      <c r="D50" s="17" t="n">
        <v>3000</v>
      </c>
    </row>
    <row r="51" customFormat="false" ht="15" hidden="false" customHeight="true" outlineLevel="0" collapsed="false">
      <c r="A51" s="18" t="s">
        <v>34</v>
      </c>
      <c r="B51" s="19"/>
      <c r="C51" s="19"/>
      <c r="D51" s="20" t="n">
        <f aca="false">SUM(D49)+D50</f>
        <v>9900</v>
      </c>
      <c r="E51" s="19"/>
      <c r="F51" s="19"/>
    </row>
    <row r="53" customFormat="false" ht="24" hidden="false" customHeight="true" outlineLevel="0" collapsed="false">
      <c r="A53" s="6" t="s">
        <v>78</v>
      </c>
      <c r="B53" s="7"/>
      <c r="C53" s="7"/>
      <c r="D53" s="7"/>
      <c r="E53" s="8" t="s">
        <v>79</v>
      </c>
      <c r="F53" s="9" t="s">
        <v>30</v>
      </c>
    </row>
    <row r="54" customFormat="false" ht="15" hidden="false" customHeight="true" outlineLevel="0" collapsed="false">
      <c r="A54" s="10" t="s">
        <v>80</v>
      </c>
      <c r="B54" s="11" t="n">
        <v>1500</v>
      </c>
      <c r="C54" s="12" t="n">
        <v>2</v>
      </c>
      <c r="D54" s="13" t="n">
        <f aca="false">B54*C54</f>
        <v>3000</v>
      </c>
      <c r="E54" s="14" t="s">
        <v>81</v>
      </c>
      <c r="F54" s="15" t="s">
        <v>82</v>
      </c>
    </row>
    <row r="55" customFormat="false" ht="15" hidden="false" customHeight="true" outlineLevel="0" collapsed="false">
      <c r="A55" s="10" t="s">
        <v>83</v>
      </c>
      <c r="B55" s="11" t="n">
        <v>1500</v>
      </c>
      <c r="C55" s="12" t="n">
        <v>2</v>
      </c>
      <c r="D55" s="13" t="n">
        <f aca="false">B55*C55</f>
        <v>3000</v>
      </c>
      <c r="E55" s="14" t="s">
        <v>81</v>
      </c>
      <c r="F55" s="15" t="s">
        <v>84</v>
      </c>
    </row>
    <row r="56" customFormat="false" ht="15" hidden="false" customHeight="true" outlineLevel="0" collapsed="false">
      <c r="A56" s="16" t="s">
        <v>26</v>
      </c>
      <c r="D56" s="17" t="n">
        <v>3500</v>
      </c>
    </row>
    <row r="57" customFormat="false" ht="15" hidden="false" customHeight="true" outlineLevel="0" collapsed="false">
      <c r="A57" s="18" t="s">
        <v>34</v>
      </c>
      <c r="B57" s="19"/>
      <c r="C57" s="19"/>
      <c r="D57" s="20" t="n">
        <f aca="false">SUM(D54:D55)+D56</f>
        <v>9500</v>
      </c>
      <c r="E57" s="19"/>
      <c r="F57" s="19"/>
    </row>
    <row r="59" customFormat="false" ht="24" hidden="false" customHeight="true" outlineLevel="0" collapsed="false">
      <c r="A59" s="6" t="s">
        <v>85</v>
      </c>
      <c r="B59" s="7"/>
      <c r="C59" s="7"/>
      <c r="D59" s="7"/>
      <c r="E59" s="8" t="s">
        <v>86</v>
      </c>
      <c r="F59" s="9" t="s">
        <v>30</v>
      </c>
    </row>
    <row r="60" customFormat="false" ht="15" hidden="false" customHeight="true" outlineLevel="0" collapsed="false">
      <c r="A60" s="10" t="s">
        <v>87</v>
      </c>
      <c r="B60" s="11" t="n">
        <v>5500</v>
      </c>
      <c r="C60" s="12" t="n">
        <v>1</v>
      </c>
      <c r="D60" s="13" t="n">
        <f aca="false">B60*C60</f>
        <v>5500</v>
      </c>
      <c r="E60" s="14" t="s">
        <v>88</v>
      </c>
      <c r="F60" s="15" t="s">
        <v>73</v>
      </c>
    </row>
    <row r="61" customFormat="false" ht="15" hidden="false" customHeight="true" outlineLevel="0" collapsed="false">
      <c r="A61" s="16" t="s">
        <v>26</v>
      </c>
      <c r="D61" s="17" t="n">
        <f aca="false">IF(SUM(D60)&gt;=350000,0,3500)</f>
        <v>3500</v>
      </c>
    </row>
    <row r="62" customFormat="false" ht="15" hidden="false" customHeight="true" outlineLevel="0" collapsed="false">
      <c r="A62" s="18" t="s">
        <v>89</v>
      </c>
      <c r="B62" s="19"/>
      <c r="C62" s="19"/>
      <c r="D62" s="20" t="n">
        <f aca="false">SUM(D60)+D61</f>
        <v>9000</v>
      </c>
      <c r="E62" s="19"/>
      <c r="F62" s="19"/>
    </row>
    <row r="64" customFormat="false" ht="24" hidden="false" customHeight="true" outlineLevel="0" collapsed="false">
      <c r="A64" s="6" t="s">
        <v>90</v>
      </c>
      <c r="B64" s="7"/>
      <c r="C64" s="7"/>
      <c r="D64" s="7"/>
      <c r="E64" s="8" t="s">
        <v>91</v>
      </c>
      <c r="F64" s="9" t="s">
        <v>30</v>
      </c>
    </row>
    <row r="65" customFormat="false" ht="15" hidden="false" customHeight="true" outlineLevel="0" collapsed="false">
      <c r="A65" s="10" t="s">
        <v>92</v>
      </c>
      <c r="B65" s="11" t="n">
        <v>66</v>
      </c>
      <c r="C65" s="12" t="n">
        <v>20</v>
      </c>
      <c r="D65" s="13" t="n">
        <f aca="false">B65*C65</f>
        <v>1320</v>
      </c>
      <c r="E65" s="14" t="s">
        <v>93</v>
      </c>
      <c r="F65" s="15" t="s">
        <v>25</v>
      </c>
    </row>
    <row r="66" customFormat="false" ht="15" hidden="false" customHeight="true" outlineLevel="0" collapsed="false">
      <c r="A66" s="10" t="s">
        <v>94</v>
      </c>
      <c r="B66" s="11" t="n">
        <v>66</v>
      </c>
      <c r="C66" s="12" t="n">
        <v>10</v>
      </c>
      <c r="D66" s="13" t="n">
        <f aca="false">B66*C66</f>
        <v>660</v>
      </c>
      <c r="E66" s="14" t="s">
        <v>95</v>
      </c>
      <c r="F66" s="15" t="s">
        <v>25</v>
      </c>
    </row>
    <row r="67" customFormat="false" ht="15" hidden="false" customHeight="true" outlineLevel="0" collapsed="false">
      <c r="A67" s="10" t="s">
        <v>96</v>
      </c>
      <c r="B67" s="11" t="n">
        <v>55</v>
      </c>
      <c r="C67" s="12" t="n">
        <v>10</v>
      </c>
      <c r="D67" s="13" t="n">
        <f aca="false">B67*C67</f>
        <v>550</v>
      </c>
      <c r="E67" s="14" t="s">
        <v>97</v>
      </c>
      <c r="F67" s="15" t="s">
        <v>25</v>
      </c>
    </row>
    <row r="68" customFormat="false" ht="15" hidden="false" customHeight="true" outlineLevel="0" collapsed="false">
      <c r="A68" s="10" t="s">
        <v>98</v>
      </c>
      <c r="B68" s="11" t="n">
        <v>154</v>
      </c>
      <c r="C68" s="12" t="n">
        <v>3</v>
      </c>
      <c r="D68" s="13" t="n">
        <f aca="false">B68*C68</f>
        <v>462</v>
      </c>
      <c r="E68" s="14" t="s">
        <v>99</v>
      </c>
      <c r="F68" s="15" t="s">
        <v>100</v>
      </c>
    </row>
    <row r="69" customFormat="false" ht="15" hidden="false" customHeight="true" outlineLevel="0" collapsed="false">
      <c r="A69" s="10" t="s">
        <v>101</v>
      </c>
      <c r="B69" s="11" t="n">
        <v>44</v>
      </c>
      <c r="C69" s="12" t="n">
        <v>10</v>
      </c>
      <c r="D69" s="13" t="n">
        <f aca="false">B69*C69</f>
        <v>440</v>
      </c>
      <c r="E69" s="14" t="s">
        <v>102</v>
      </c>
      <c r="F69" s="15" t="s">
        <v>25</v>
      </c>
    </row>
    <row r="70" customFormat="false" ht="29.25" hidden="false" customHeight="true" outlineLevel="0" collapsed="false">
      <c r="A70" s="10" t="s">
        <v>103</v>
      </c>
      <c r="B70" s="11" t="n">
        <v>33</v>
      </c>
      <c r="C70" s="12" t="n">
        <v>10</v>
      </c>
      <c r="D70" s="13" t="n">
        <f aca="false">B70*C70</f>
        <v>330</v>
      </c>
      <c r="E70" s="14" t="s">
        <v>104</v>
      </c>
      <c r="F70" s="15" t="s">
        <v>105</v>
      </c>
    </row>
    <row r="71" customFormat="false" ht="24.75" hidden="false" customHeight="true" outlineLevel="0" collapsed="false">
      <c r="A71" s="10" t="s">
        <v>106</v>
      </c>
      <c r="B71" s="11" t="n">
        <v>121</v>
      </c>
      <c r="C71" s="12" t="n">
        <v>100</v>
      </c>
      <c r="D71" s="13" t="n">
        <f aca="false">B71*C71</f>
        <v>12100</v>
      </c>
      <c r="E71" s="14" t="s">
        <v>107</v>
      </c>
      <c r="F71" s="15" t="s">
        <v>108</v>
      </c>
    </row>
    <row r="72" customFormat="false" ht="15" hidden="false" customHeight="true" outlineLevel="0" collapsed="false">
      <c r="A72" s="16" t="s">
        <v>26</v>
      </c>
      <c r="D72" s="17" t="n">
        <f aca="false">IF(SUM(D65:D71)&gt;=66000,0,2700)</f>
        <v>2700</v>
      </c>
    </row>
    <row r="73" customFormat="false" ht="15" hidden="false" customHeight="true" outlineLevel="0" collapsed="false">
      <c r="A73" s="18" t="s">
        <v>89</v>
      </c>
      <c r="B73" s="19"/>
      <c r="C73" s="19"/>
      <c r="D73" s="20" t="n">
        <f aca="false">SUM(D65:D71)+D72</f>
        <v>18562</v>
      </c>
      <c r="E73" s="19"/>
      <c r="F73" s="19"/>
    </row>
    <row r="75" customFormat="false" ht="24" hidden="false" customHeight="true" outlineLevel="0" collapsed="false">
      <c r="A75" s="6" t="s">
        <v>109</v>
      </c>
      <c r="B75" s="7"/>
      <c r="C75" s="7"/>
      <c r="D75" s="7"/>
      <c r="E75" s="8" t="s">
        <v>36</v>
      </c>
      <c r="F75" s="9" t="s">
        <v>30</v>
      </c>
    </row>
    <row r="76" customFormat="false" ht="15" hidden="false" customHeight="true" outlineLevel="0" collapsed="false">
      <c r="A76" s="10" t="s">
        <v>110</v>
      </c>
      <c r="B76" s="11" t="n">
        <v>3000</v>
      </c>
      <c r="C76" s="12" t="n">
        <v>1</v>
      </c>
      <c r="D76" s="13" t="n">
        <f aca="false">B76*C76</f>
        <v>3000</v>
      </c>
      <c r="E76" s="14" t="s">
        <v>111</v>
      </c>
      <c r="F76" s="15" t="s">
        <v>112</v>
      </c>
    </row>
    <row r="77" customFormat="false" ht="15" hidden="false" customHeight="true" outlineLevel="0" collapsed="false">
      <c r="A77" s="16" t="s">
        <v>26</v>
      </c>
      <c r="D77" s="17" t="n">
        <v>3000</v>
      </c>
    </row>
    <row r="78" customFormat="false" ht="15" hidden="false" customHeight="true" outlineLevel="0" collapsed="false">
      <c r="A78" s="18" t="s">
        <v>34</v>
      </c>
      <c r="B78" s="19"/>
      <c r="C78" s="19"/>
      <c r="D78" s="20" t="n">
        <f aca="false">SUM(D76)+D77</f>
        <v>6000</v>
      </c>
      <c r="E78" s="19"/>
      <c r="F78" s="19"/>
    </row>
    <row r="80" customFormat="false" ht="15" hidden="false" customHeight="true" outlineLevel="0" collapsed="false">
      <c r="A80" s="5" t="s">
        <v>113</v>
      </c>
    </row>
    <row r="81" customFormat="false" ht="24" hidden="false" customHeight="true" outlineLevel="0" collapsed="false">
      <c r="A81" s="6" t="s">
        <v>114</v>
      </c>
      <c r="B81" s="7"/>
      <c r="C81" s="7"/>
      <c r="D81" s="7"/>
      <c r="E81" s="8" t="s">
        <v>115</v>
      </c>
      <c r="F81" s="9"/>
    </row>
    <row r="82" customFormat="false" ht="15" hidden="false" customHeight="true" outlineLevel="0" collapsed="false">
      <c r="A82" s="10" t="s">
        <v>116</v>
      </c>
      <c r="B82" s="11" t="n">
        <v>8610</v>
      </c>
      <c r="C82" s="12" t="n">
        <v>4</v>
      </c>
      <c r="D82" s="13" t="n">
        <f aca="false">B82*C82</f>
        <v>34440</v>
      </c>
      <c r="E82" s="14" t="s">
        <v>117</v>
      </c>
      <c r="F82" s="15" t="s">
        <v>118</v>
      </c>
    </row>
    <row r="83" customFormat="false" ht="15" hidden="false" customHeight="true" outlineLevel="0" collapsed="false">
      <c r="A83" s="16" t="s">
        <v>26</v>
      </c>
      <c r="D83" s="17" t="n">
        <v>3500</v>
      </c>
    </row>
    <row r="84" customFormat="false" ht="15" hidden="false" customHeight="true" outlineLevel="0" collapsed="false">
      <c r="A84" s="18" t="s">
        <v>119</v>
      </c>
      <c r="B84" s="19"/>
      <c r="C84" s="19"/>
      <c r="D84" s="20" t="n">
        <f aca="false">SUM(D82)+D83</f>
        <v>37940</v>
      </c>
      <c r="E84" s="19"/>
      <c r="F84" s="19"/>
    </row>
    <row r="86" customFormat="false" ht="24" hidden="false" customHeight="true" outlineLevel="0" collapsed="false">
      <c r="A86" s="6" t="s">
        <v>120</v>
      </c>
      <c r="B86" s="7"/>
      <c r="C86" s="7"/>
      <c r="D86" s="7"/>
      <c r="E86" s="8" t="s">
        <v>121</v>
      </c>
      <c r="F86" s="9"/>
    </row>
    <row r="87" customFormat="false" ht="15" hidden="false" customHeight="true" outlineLevel="0" collapsed="false">
      <c r="A87" s="10" t="s">
        <v>122</v>
      </c>
      <c r="B87" s="11" t="n">
        <v>3300</v>
      </c>
      <c r="C87" s="12" t="n">
        <v>8</v>
      </c>
      <c r="D87" s="13" t="n">
        <f aca="false">B87*C87</f>
        <v>26400</v>
      </c>
      <c r="E87" s="14" t="s">
        <v>123</v>
      </c>
      <c r="F87" s="15" t="s">
        <v>124</v>
      </c>
    </row>
    <row r="88" customFormat="false" ht="15" hidden="false" customHeight="true" outlineLevel="0" collapsed="false">
      <c r="A88" s="10" t="s">
        <v>125</v>
      </c>
      <c r="B88" s="11" t="n">
        <v>500</v>
      </c>
      <c r="C88" s="12" t="n">
        <v>7</v>
      </c>
      <c r="D88" s="13" t="n">
        <f aca="false">B88*C88</f>
        <v>3500</v>
      </c>
      <c r="E88" s="14" t="s">
        <v>123</v>
      </c>
      <c r="F88" s="15" t="s">
        <v>126</v>
      </c>
    </row>
    <row r="89" customFormat="false" ht="15" hidden="false" customHeight="true" outlineLevel="0" collapsed="false">
      <c r="A89" s="16" t="s">
        <v>26</v>
      </c>
      <c r="D89" s="17" t="n">
        <f aca="false">IF(SUM(D87:D88)&gt;=100000,0,3000)</f>
        <v>3000</v>
      </c>
    </row>
    <row r="90" customFormat="false" ht="15" hidden="false" customHeight="true" outlineLevel="0" collapsed="false">
      <c r="A90" s="18" t="s">
        <v>127</v>
      </c>
      <c r="B90" s="19"/>
      <c r="C90" s="19"/>
      <c r="D90" s="20" t="n">
        <f aca="false">SUM(D87:D88)+D89</f>
        <v>32900</v>
      </c>
      <c r="E90" s="19"/>
      <c r="F90" s="19"/>
    </row>
    <row r="92" customFormat="false" ht="24" hidden="false" customHeight="true" outlineLevel="0" collapsed="false">
      <c r="A92" s="6" t="s">
        <v>128</v>
      </c>
      <c r="B92" s="7"/>
      <c r="C92" s="7"/>
      <c r="D92" s="7"/>
      <c r="E92" s="8" t="s">
        <v>129</v>
      </c>
      <c r="F92" s="9"/>
    </row>
    <row r="93" customFormat="false" ht="15" hidden="false" customHeight="true" outlineLevel="0" collapsed="false">
      <c r="A93" s="10" t="s">
        <v>130</v>
      </c>
      <c r="B93" s="11" t="n">
        <v>310</v>
      </c>
      <c r="C93" s="12" t="n">
        <v>100</v>
      </c>
      <c r="D93" s="13" t="n">
        <f aca="false">B93*C93</f>
        <v>31000</v>
      </c>
      <c r="E93" s="14" t="s">
        <v>131</v>
      </c>
      <c r="F93" s="15" t="s">
        <v>132</v>
      </c>
    </row>
    <row r="94" customFormat="false" ht="15" hidden="false" customHeight="true" outlineLevel="0" collapsed="false">
      <c r="A94" s="16" t="s">
        <v>26</v>
      </c>
      <c r="D94" s="17" t="n">
        <v>0</v>
      </c>
    </row>
    <row r="95" customFormat="false" ht="15" hidden="false" customHeight="true" outlineLevel="0" collapsed="false">
      <c r="A95" s="18" t="s">
        <v>133</v>
      </c>
      <c r="B95" s="19"/>
      <c r="C95" s="19"/>
      <c r="D95" s="20" t="n">
        <f aca="false">SUM(D93)+D94</f>
        <v>31000</v>
      </c>
      <c r="E95" s="19"/>
      <c r="F95" s="19"/>
    </row>
    <row r="97" customFormat="false" ht="24" hidden="false" customHeight="true" outlineLevel="0" collapsed="false">
      <c r="A97" s="6" t="s">
        <v>134</v>
      </c>
      <c r="B97" s="7"/>
      <c r="C97" s="7"/>
      <c r="D97" s="7"/>
      <c r="E97" s="8" t="s">
        <v>135</v>
      </c>
      <c r="F97" s="9" t="s">
        <v>136</v>
      </c>
    </row>
    <row r="98" customFormat="false" ht="15" hidden="false" customHeight="true" outlineLevel="0" collapsed="false">
      <c r="A98" s="10" t="s">
        <v>137</v>
      </c>
      <c r="B98" s="11" t="n">
        <v>16489</v>
      </c>
      <c r="C98" s="12" t="n">
        <v>1</v>
      </c>
      <c r="D98" s="13" t="n">
        <f aca="false">B98*C98</f>
        <v>16489</v>
      </c>
      <c r="E98" s="14" t="s">
        <v>138</v>
      </c>
      <c r="F98" s="15" t="s">
        <v>139</v>
      </c>
    </row>
    <row r="99" customFormat="false" ht="15" hidden="false" customHeight="true" outlineLevel="0" collapsed="false">
      <c r="A99" s="10" t="s">
        <v>140</v>
      </c>
      <c r="B99" s="11" t="n">
        <v>3399</v>
      </c>
      <c r="C99" s="12" t="n">
        <v>1</v>
      </c>
      <c r="D99" s="13" t="n">
        <f aca="false">B99*C99</f>
        <v>3399</v>
      </c>
      <c r="E99" s="14" t="s">
        <v>141</v>
      </c>
      <c r="F99" s="15" t="s">
        <v>142</v>
      </c>
    </row>
    <row r="100" customFormat="false" ht="15" hidden="false" customHeight="true" outlineLevel="0" collapsed="false">
      <c r="A100" s="10" t="s">
        <v>143</v>
      </c>
      <c r="B100" s="11" t="n">
        <v>2739</v>
      </c>
      <c r="C100" s="12" t="n">
        <v>1</v>
      </c>
      <c r="D100" s="13" t="n">
        <f aca="false">B100*C100</f>
        <v>2739</v>
      </c>
      <c r="E100" s="14" t="s">
        <v>144</v>
      </c>
      <c r="F100" s="15" t="s">
        <v>145</v>
      </c>
    </row>
    <row r="101" customFormat="false" ht="15" hidden="false" customHeight="true" outlineLevel="0" collapsed="false">
      <c r="A101" s="16" t="s">
        <v>26</v>
      </c>
      <c r="D101" s="17" t="n">
        <f aca="false">IF(SUM(D98:D100)&gt;=55000,0,3300)</f>
        <v>3300</v>
      </c>
      <c r="E101" s="1" t="s">
        <v>146</v>
      </c>
    </row>
    <row r="102" customFormat="false" ht="15" hidden="false" customHeight="true" outlineLevel="0" collapsed="false">
      <c r="A102" s="18" t="s">
        <v>147</v>
      </c>
      <c r="B102" s="19"/>
      <c r="C102" s="19"/>
      <c r="D102" s="20" t="n">
        <f aca="false">SUM(D98:D100)+D101</f>
        <v>25927</v>
      </c>
      <c r="E102" s="19"/>
      <c r="F102" s="19"/>
    </row>
    <row r="103" customFormat="false" ht="15" hidden="false" customHeight="true" outlineLevel="0" collapsed="false"/>
    <row r="104" customFormat="false" ht="15" hidden="false" customHeight="false" outlineLevel="0" collapsed="false">
      <c r="A104" s="6" t="s">
        <v>148</v>
      </c>
      <c r="B104" s="7"/>
      <c r="C104" s="7"/>
      <c r="D104" s="7"/>
      <c r="E104" s="8" t="s">
        <v>149</v>
      </c>
      <c r="F104" s="9"/>
    </row>
    <row r="105" customFormat="false" ht="24" hidden="false" customHeight="true" outlineLevel="0" collapsed="false">
      <c r="A105" s="10" t="s">
        <v>150</v>
      </c>
      <c r="B105" s="11" t="n">
        <v>16600</v>
      </c>
      <c r="C105" s="12" t="n">
        <v>1</v>
      </c>
      <c r="D105" s="13" t="n">
        <f aca="false">B105*C105</f>
        <v>16600</v>
      </c>
      <c r="E105" s="14" t="s">
        <v>151</v>
      </c>
      <c r="F105" s="15" t="s">
        <v>152</v>
      </c>
    </row>
    <row r="106" customFormat="false" ht="15" hidden="false" customHeight="true" outlineLevel="0" collapsed="false">
      <c r="A106" s="10" t="s">
        <v>153</v>
      </c>
      <c r="B106" s="11" t="n">
        <v>6700</v>
      </c>
      <c r="C106" s="12" t="n">
        <v>1</v>
      </c>
      <c r="D106" s="13" t="n">
        <f aca="false">B106*C106</f>
        <v>6700</v>
      </c>
      <c r="E106" s="14" t="s">
        <v>151</v>
      </c>
      <c r="F106" s="15" t="s">
        <v>154</v>
      </c>
    </row>
    <row r="107" customFormat="false" ht="15" hidden="false" customHeight="true" outlineLevel="0" collapsed="false">
      <c r="A107" s="16" t="s">
        <v>26</v>
      </c>
      <c r="D107" s="17" t="n">
        <f aca="false">IF(SUM(D105:D106)&gt;=100000,0,3300)</f>
        <v>3300</v>
      </c>
      <c r="E107" s="1" t="s">
        <v>155</v>
      </c>
    </row>
    <row r="108" customFormat="false" ht="15" hidden="false" customHeight="true" outlineLevel="0" collapsed="false">
      <c r="A108" s="18" t="s">
        <v>156</v>
      </c>
      <c r="B108" s="19"/>
      <c r="C108" s="19"/>
      <c r="D108" s="20" t="n">
        <f aca="false">SUM(D105:D106)+D107</f>
        <v>26600</v>
      </c>
      <c r="E108" s="19"/>
      <c r="F108" s="19"/>
    </row>
    <row r="109" customFormat="false" ht="15" hidden="false" customHeight="true" outlineLevel="0" collapsed="false"/>
    <row r="110" customFormat="false" ht="15" hidden="false" customHeight="false" outlineLevel="0" collapsed="false">
      <c r="A110" s="6" t="s">
        <v>157</v>
      </c>
      <c r="B110" s="7"/>
      <c r="C110" s="7"/>
      <c r="D110" s="7"/>
      <c r="E110" s="8" t="s">
        <v>158</v>
      </c>
      <c r="F110" s="9"/>
    </row>
    <row r="111" customFormat="false" ht="24" hidden="false" customHeight="true" outlineLevel="0" collapsed="false">
      <c r="A111" s="10" t="s">
        <v>159</v>
      </c>
      <c r="B111" s="11" t="n">
        <v>13800</v>
      </c>
      <c r="C111" s="12" t="n">
        <v>1</v>
      </c>
      <c r="D111" s="13" t="n">
        <f aca="false">B111*C111</f>
        <v>13800</v>
      </c>
      <c r="E111" s="14" t="s">
        <v>160</v>
      </c>
      <c r="F111" s="15" t="s">
        <v>161</v>
      </c>
    </row>
    <row r="112" customFormat="false" ht="15" hidden="false" customHeight="true" outlineLevel="0" collapsed="false">
      <c r="A112" s="16" t="s">
        <v>26</v>
      </c>
      <c r="D112" s="17" t="n">
        <f aca="false">IF(SUM(D111)&gt;=50000,0,3000)</f>
        <v>3000</v>
      </c>
    </row>
    <row r="113" customFormat="false" ht="15" hidden="false" customHeight="true" outlineLevel="0" collapsed="false">
      <c r="A113" s="18" t="s">
        <v>162</v>
      </c>
      <c r="B113" s="19"/>
      <c r="C113" s="19"/>
      <c r="D113" s="20" t="n">
        <f aca="false">SUM(D111)+D112</f>
        <v>16800</v>
      </c>
      <c r="E113" s="19"/>
      <c r="F113" s="19"/>
    </row>
    <row r="114" customFormat="false" ht="15" hidden="false" customHeight="true" outlineLevel="0" collapsed="false"/>
    <row r="115" customFormat="false" ht="15" hidden="false" customHeight="false" outlineLevel="0" collapsed="false">
      <c r="A115" s="6" t="s">
        <v>163</v>
      </c>
      <c r="B115" s="7"/>
      <c r="C115" s="7"/>
      <c r="D115" s="7"/>
      <c r="E115" s="8" t="s">
        <v>164</v>
      </c>
      <c r="F115" s="9"/>
    </row>
    <row r="116" customFormat="false" ht="24" hidden="false" customHeight="true" outlineLevel="0" collapsed="false">
      <c r="A116" s="10" t="s">
        <v>165</v>
      </c>
      <c r="B116" s="11" t="n">
        <v>2100</v>
      </c>
      <c r="C116" s="12" t="n">
        <v>3</v>
      </c>
      <c r="D116" s="13" t="n">
        <f aca="false">B116*C116</f>
        <v>6300</v>
      </c>
      <c r="E116" s="14" t="s">
        <v>166</v>
      </c>
      <c r="F116" s="15" t="s">
        <v>167</v>
      </c>
    </row>
    <row r="117" customFormat="false" ht="15" hidden="false" customHeight="true" outlineLevel="0" collapsed="false">
      <c r="A117" s="10" t="s">
        <v>168</v>
      </c>
      <c r="B117" s="11" t="n">
        <v>1500</v>
      </c>
      <c r="C117" s="12" t="n">
        <v>1</v>
      </c>
      <c r="D117" s="13" t="n">
        <f aca="false">B117*C117</f>
        <v>1500</v>
      </c>
      <c r="E117" s="14" t="s">
        <v>169</v>
      </c>
      <c r="F117" s="15" t="s">
        <v>170</v>
      </c>
    </row>
    <row r="118" customFormat="false" ht="15" hidden="false" customHeight="true" outlineLevel="0" collapsed="false">
      <c r="A118" s="16" t="s">
        <v>26</v>
      </c>
      <c r="D118" s="17" t="n">
        <f aca="false">IF(SUM(D116:D117)&gt;=70000,0,3000)</f>
        <v>3000</v>
      </c>
    </row>
    <row r="119" customFormat="false" ht="15" hidden="false" customHeight="true" outlineLevel="0" collapsed="false">
      <c r="A119" s="18" t="s">
        <v>171</v>
      </c>
      <c r="B119" s="19"/>
      <c r="C119" s="19"/>
      <c r="D119" s="20" t="n">
        <f aca="false">SUM(D116:D117)+D118</f>
        <v>10800</v>
      </c>
      <c r="E119" s="19"/>
      <c r="F119" s="19"/>
    </row>
    <row r="121" customFormat="false" ht="24" hidden="false" customHeight="true" outlineLevel="0" collapsed="false">
      <c r="A121" s="6" t="s">
        <v>172</v>
      </c>
      <c r="B121" s="7"/>
      <c r="C121" s="7"/>
      <c r="D121" s="7"/>
      <c r="E121" s="8" t="s">
        <v>173</v>
      </c>
      <c r="F121" s="9"/>
    </row>
    <row r="122" customFormat="false" ht="15" hidden="false" customHeight="true" outlineLevel="0" collapsed="false">
      <c r="A122" s="10" t="s">
        <v>174</v>
      </c>
      <c r="B122" s="11" t="n">
        <v>80</v>
      </c>
      <c r="C122" s="12" t="n">
        <v>89</v>
      </c>
      <c r="D122" s="13" t="n">
        <f aca="false">B122*C122</f>
        <v>7120</v>
      </c>
      <c r="E122" s="14" t="s">
        <v>175</v>
      </c>
      <c r="F122" s="15" t="s">
        <v>176</v>
      </c>
    </row>
    <row r="123" customFormat="false" ht="15" hidden="false" customHeight="true" outlineLevel="0" collapsed="false">
      <c r="A123" s="16" t="s">
        <v>26</v>
      </c>
      <c r="D123" s="17" t="n">
        <f aca="false">IF(SUM(D122)&gt;=50000,0,2500)</f>
        <v>2500</v>
      </c>
      <c r="E123" s="1" t="s">
        <v>177</v>
      </c>
    </row>
    <row r="124" customFormat="false" ht="15" hidden="false" customHeight="true" outlineLevel="0" collapsed="false">
      <c r="A124" s="18" t="s">
        <v>178</v>
      </c>
      <c r="B124" s="19"/>
      <c r="C124" s="19"/>
      <c r="D124" s="20" t="n">
        <f aca="false">SUM(D122)+D123</f>
        <v>9620</v>
      </c>
      <c r="E124" s="19"/>
      <c r="F124" s="19"/>
    </row>
    <row r="125" customFormat="false" ht="15" hidden="false" customHeight="true" outlineLevel="0" collapsed="false"/>
    <row r="126" customFormat="false" ht="15" hidden="false" customHeight="false" outlineLevel="0" collapsed="false">
      <c r="A126" s="6" t="s">
        <v>179</v>
      </c>
      <c r="B126" s="7"/>
      <c r="C126" s="7"/>
      <c r="D126" s="7"/>
      <c r="E126" s="8" t="s">
        <v>129</v>
      </c>
      <c r="F126" s="9"/>
    </row>
    <row r="127" customFormat="false" ht="24" hidden="false" customHeight="true" outlineLevel="0" collapsed="false">
      <c r="A127" s="10" t="s">
        <v>180</v>
      </c>
      <c r="B127" s="11" t="n">
        <v>8750</v>
      </c>
      <c r="C127" s="12" t="n">
        <v>1</v>
      </c>
      <c r="D127" s="13" t="n">
        <f aca="false">B127*C127</f>
        <v>8750</v>
      </c>
      <c r="E127" s="14" t="s">
        <v>181</v>
      </c>
      <c r="F127" s="15" t="s">
        <v>182</v>
      </c>
    </row>
    <row r="128" customFormat="false" ht="15" hidden="false" customHeight="true" outlineLevel="0" collapsed="false">
      <c r="A128" s="16" t="s">
        <v>26</v>
      </c>
      <c r="D128" s="17" t="n">
        <v>0</v>
      </c>
      <c r="E128" s="1" t="s">
        <v>183</v>
      </c>
    </row>
    <row r="129" customFormat="false" ht="15" hidden="false" customHeight="true" outlineLevel="0" collapsed="false">
      <c r="A129" s="18" t="s">
        <v>184</v>
      </c>
      <c r="B129" s="19"/>
      <c r="C129" s="19"/>
      <c r="D129" s="20" t="n">
        <f aca="false">SUM(D127)+D128</f>
        <v>8750</v>
      </c>
      <c r="E129" s="19"/>
      <c r="F129" s="19"/>
    </row>
    <row r="130" customFormat="false" ht="15" hidden="false" customHeight="true" outlineLevel="0" collapsed="false"/>
    <row r="131" customFormat="false" ht="15" hidden="false" customHeight="false" outlineLevel="0" collapsed="false">
      <c r="A131" s="6" t="s">
        <v>185</v>
      </c>
      <c r="B131" s="7"/>
      <c r="C131" s="7"/>
      <c r="D131" s="7"/>
      <c r="E131" s="8" t="s">
        <v>129</v>
      </c>
      <c r="F131" s="9" t="s">
        <v>186</v>
      </c>
    </row>
    <row r="132" customFormat="false" ht="24" hidden="false" customHeight="true" outlineLevel="0" collapsed="false">
      <c r="A132" s="10" t="s">
        <v>187</v>
      </c>
      <c r="B132" s="11" t="n">
        <v>5200</v>
      </c>
      <c r="C132" s="12" t="n">
        <v>1</v>
      </c>
      <c r="D132" s="13" t="n">
        <f aca="false">B132*C132</f>
        <v>5200</v>
      </c>
      <c r="E132" s="14" t="s">
        <v>188</v>
      </c>
      <c r="F132" s="15" t="s">
        <v>189</v>
      </c>
    </row>
    <row r="133" customFormat="false" ht="15" hidden="false" customHeight="true" outlineLevel="0" collapsed="false">
      <c r="A133" s="16" t="s">
        <v>26</v>
      </c>
      <c r="D133" s="17" t="n">
        <v>0</v>
      </c>
      <c r="E133" s="1" t="s">
        <v>190</v>
      </c>
    </row>
    <row r="134" customFormat="false" ht="15" hidden="false" customHeight="true" outlineLevel="0" collapsed="false">
      <c r="A134" s="18" t="s">
        <v>48</v>
      </c>
      <c r="B134" s="19"/>
      <c r="C134" s="19"/>
      <c r="D134" s="20" t="n">
        <f aca="false">SUM(D132)+D133</f>
        <v>5200</v>
      </c>
      <c r="E134" s="19"/>
      <c r="F134" s="19"/>
    </row>
    <row r="135" customFormat="false" ht="15" hidden="false" customHeight="true" outlineLevel="0" collapsed="false"/>
    <row r="136" customFormat="false" ht="25.35" hidden="false" customHeight="false" outlineLevel="0" collapsed="false">
      <c r="A136" s="6" t="s">
        <v>191</v>
      </c>
      <c r="B136" s="7"/>
      <c r="C136" s="7"/>
      <c r="D136" s="7"/>
      <c r="E136" s="8" t="s">
        <v>192</v>
      </c>
      <c r="F136" s="9" t="s">
        <v>193</v>
      </c>
    </row>
    <row r="137" customFormat="false" ht="24" hidden="false" customHeight="true" outlineLevel="0" collapsed="false">
      <c r="A137" s="10" t="s">
        <v>194</v>
      </c>
      <c r="B137" s="11" t="n">
        <v>1620</v>
      </c>
      <c r="C137" s="12" t="n">
        <v>2</v>
      </c>
      <c r="D137" s="13" t="n">
        <f aca="false">B137*C137</f>
        <v>3240</v>
      </c>
      <c r="E137" s="14" t="s">
        <v>195</v>
      </c>
      <c r="F137" s="15" t="s">
        <v>196</v>
      </c>
    </row>
    <row r="138" customFormat="false" ht="15" hidden="false" customHeight="true" outlineLevel="0" collapsed="false">
      <c r="A138" s="10" t="s">
        <v>197</v>
      </c>
      <c r="B138" s="11" t="n">
        <v>1870</v>
      </c>
      <c r="C138" s="12" t="n">
        <v>6</v>
      </c>
      <c r="D138" s="13" t="n">
        <f aca="false">B138*C138</f>
        <v>11220</v>
      </c>
      <c r="E138" s="14" t="s">
        <v>198</v>
      </c>
      <c r="F138" s="15" t="s">
        <v>199</v>
      </c>
    </row>
    <row r="139" customFormat="false" ht="15" hidden="false" customHeight="true" outlineLevel="0" collapsed="false">
      <c r="A139" s="16" t="s">
        <v>26</v>
      </c>
      <c r="D139" s="17" t="n">
        <f aca="false">IF(SUM(D137:D138)&gt;=66000,0,3000)</f>
        <v>3000</v>
      </c>
    </row>
    <row r="140" customFormat="false" ht="15" hidden="false" customHeight="true" outlineLevel="0" collapsed="false">
      <c r="A140" s="18" t="s">
        <v>69</v>
      </c>
      <c r="B140" s="19"/>
      <c r="C140" s="19"/>
      <c r="D140" s="20" t="n">
        <f aca="false">SUM(D137:D138)+D139</f>
        <v>17460</v>
      </c>
      <c r="E140" s="19"/>
      <c r="F140" s="19"/>
    </row>
    <row r="142" customFormat="false" ht="24" hidden="false" customHeight="true" outlineLevel="0" collapsed="false">
      <c r="A142" s="6" t="s">
        <v>200</v>
      </c>
      <c r="B142" s="7"/>
      <c r="C142" s="7"/>
      <c r="D142" s="7"/>
      <c r="E142" s="8" t="s">
        <v>201</v>
      </c>
      <c r="F142" s="9" t="s">
        <v>202</v>
      </c>
    </row>
    <row r="143" customFormat="false" ht="15" hidden="false" customHeight="true" outlineLevel="0" collapsed="false">
      <c r="A143" s="10" t="s">
        <v>203</v>
      </c>
      <c r="B143" s="11" t="n">
        <v>52034</v>
      </c>
      <c r="C143" s="12" t="n">
        <v>1</v>
      </c>
      <c r="D143" s="13" t="n">
        <f aca="false">B143*C143</f>
        <v>52034</v>
      </c>
      <c r="E143" s="14" t="s">
        <v>204</v>
      </c>
      <c r="F143" s="15" t="s">
        <v>205</v>
      </c>
    </row>
    <row r="144" customFormat="false" ht="15" hidden="false" customHeight="true" outlineLevel="0" collapsed="false">
      <c r="A144" s="16" t="s">
        <v>26</v>
      </c>
      <c r="D144" s="17" t="n">
        <v>0</v>
      </c>
      <c r="E144" s="1" t="s">
        <v>206</v>
      </c>
    </row>
    <row r="145" customFormat="false" ht="15" hidden="false" customHeight="true" outlineLevel="0" collapsed="false">
      <c r="A145" s="18" t="s">
        <v>207</v>
      </c>
      <c r="B145" s="19"/>
      <c r="C145" s="19"/>
      <c r="D145" s="20" t="n">
        <f aca="false">SUM(D143)+D144</f>
        <v>52034</v>
      </c>
      <c r="E145" s="19"/>
      <c r="F145" s="19"/>
    </row>
    <row r="146" customFormat="false" ht="15" hidden="false" customHeight="true" outlineLevel="0" collapsed="false"/>
    <row r="147" customFormat="false" ht="25.35" hidden="false" customHeight="false" outlineLevel="0" collapsed="false">
      <c r="A147" s="6" t="s">
        <v>208</v>
      </c>
      <c r="B147" s="7"/>
      <c r="C147" s="7"/>
      <c r="D147" s="7"/>
      <c r="E147" s="8" t="s">
        <v>209</v>
      </c>
      <c r="F147" s="9" t="s">
        <v>210</v>
      </c>
    </row>
    <row r="148" customFormat="false" ht="24" hidden="false" customHeight="true" outlineLevel="0" collapsed="false">
      <c r="A148" s="10" t="s">
        <v>211</v>
      </c>
      <c r="B148" s="11" t="n">
        <v>16150</v>
      </c>
      <c r="C148" s="12" t="n">
        <v>4</v>
      </c>
      <c r="D148" s="13" t="n">
        <f aca="false">B148*C148</f>
        <v>64600</v>
      </c>
      <c r="E148" s="14" t="s">
        <v>212</v>
      </c>
      <c r="F148" s="15" t="s">
        <v>213</v>
      </c>
    </row>
    <row r="149" customFormat="false" ht="15" hidden="false" customHeight="true" outlineLevel="0" collapsed="false">
      <c r="A149" s="16" t="s">
        <v>26</v>
      </c>
      <c r="D149" s="17" t="n">
        <f aca="false">IF(SUM(D148)&gt;=70000,0,3000)</f>
        <v>3000</v>
      </c>
      <c r="E149" s="1" t="s">
        <v>214</v>
      </c>
    </row>
    <row r="150" customFormat="false" ht="15" hidden="false" customHeight="true" outlineLevel="0" collapsed="false">
      <c r="A150" s="18" t="s">
        <v>215</v>
      </c>
      <c r="B150" s="19"/>
      <c r="C150" s="19"/>
      <c r="D150" s="20" t="n">
        <f aca="false">SUM(D148)+D149</f>
        <v>67600</v>
      </c>
      <c r="E150" s="19"/>
      <c r="F150" s="19"/>
    </row>
    <row r="151" customFormat="false" ht="15" hidden="false" customHeight="true" outlineLevel="0" collapsed="false"/>
    <row r="152" customFormat="false" ht="25.35" hidden="false" customHeight="false" outlineLevel="0" collapsed="false">
      <c r="A152" s="6" t="s">
        <v>216</v>
      </c>
      <c r="B152" s="7"/>
      <c r="C152" s="7"/>
      <c r="D152" s="7"/>
      <c r="E152" s="8" t="s">
        <v>217</v>
      </c>
      <c r="F152" s="9" t="s">
        <v>218</v>
      </c>
    </row>
    <row r="153" customFormat="false" ht="24" hidden="false" customHeight="true" outlineLevel="0" collapsed="false">
      <c r="A153" s="10" t="s">
        <v>219</v>
      </c>
      <c r="B153" s="11" t="n">
        <v>2860</v>
      </c>
      <c r="C153" s="12" t="n">
        <v>4</v>
      </c>
      <c r="D153" s="13" t="n">
        <f aca="false">B153*C153</f>
        <v>11440</v>
      </c>
      <c r="E153" s="14" t="s">
        <v>220</v>
      </c>
      <c r="F153" s="15" t="s">
        <v>221</v>
      </c>
    </row>
    <row r="154" customFormat="false" ht="15" hidden="false" customHeight="true" outlineLevel="0" collapsed="false">
      <c r="A154" s="16" t="s">
        <v>26</v>
      </c>
      <c r="D154" s="17" t="n">
        <f aca="false">IF(SUM(D153)&gt;=66000,0,2700)</f>
        <v>2700</v>
      </c>
    </row>
    <row r="155" customFormat="false" ht="15" hidden="false" customHeight="true" outlineLevel="0" collapsed="false">
      <c r="A155" s="18" t="s">
        <v>89</v>
      </c>
      <c r="B155" s="19"/>
      <c r="C155" s="19"/>
      <c r="D155" s="20" t="n">
        <f aca="false">SUM(D153)+D154</f>
        <v>14140</v>
      </c>
      <c r="E155" s="19"/>
      <c r="F155" s="19"/>
    </row>
    <row r="156" customFormat="false" ht="15" hidden="false" customHeight="true" outlineLevel="0" collapsed="false"/>
    <row r="157" customFormat="false" ht="15" hidden="false" customHeight="true" outlineLevel="0" collapsed="false">
      <c r="A157" s="21" t="s">
        <v>222</v>
      </c>
      <c r="B157" s="7"/>
      <c r="C157" s="7"/>
      <c r="D157" s="22" t="n">
        <f aca="false">SUM(D8:D12,D17,D22,D27:D28,D33:D39,D44,D49,D54:D55,D60,D65:D71,D76,D82,D87:D88,D93,D98:D100,D105:D106,D111,D116:D117,D122,D127,D132,D137:D138,D143,D148,D153)</f>
        <v>542323</v>
      </c>
      <c r="E157" s="7"/>
      <c r="F157" s="7"/>
    </row>
    <row r="158" customFormat="false" ht="15" hidden="false" customHeight="true" outlineLevel="0" collapsed="false">
      <c r="A158" s="21" t="s">
        <v>223</v>
      </c>
      <c r="B158" s="7"/>
      <c r="C158" s="7"/>
      <c r="D158" s="22" t="n">
        <f aca="false">D13+D18+D23+D29+D40+D45+D50+D56+D61+D72+D77+D83+D89+D94+D101+D107+D112+D118+D123+D128+D133+D139+D144+D149+D154</f>
        <v>59000</v>
      </c>
      <c r="E158" s="7"/>
      <c r="F158" s="7"/>
    </row>
    <row r="159" customFormat="false" ht="18.65" hidden="false" customHeight="false" outlineLevel="0" collapsed="false">
      <c r="A159" s="23" t="s">
        <v>224</v>
      </c>
      <c r="B159" s="24"/>
      <c r="C159" s="24"/>
      <c r="D159" s="25" t="n">
        <f aca="false">D157+D158</f>
        <v>601323</v>
      </c>
      <c r="E159" s="26" t="s">
        <v>225</v>
      </c>
      <c r="F159" s="24"/>
    </row>
    <row r="160" customFormat="false" ht="15" hidden="false" customHeight="true" outlineLevel="0" collapsed="false">
      <c r="A160" s="21" t="s">
        <v>226</v>
      </c>
      <c r="B160" s="7"/>
      <c r="C160" s="7"/>
      <c r="D160" s="22" t="n">
        <f aca="false">SUM(D8:D12,D17,D22,D27:D28,D33:D39,D44,D49,D54:D55,D60,D65:D71,D76)</f>
        <v>215852</v>
      </c>
      <c r="E160" s="8" t="s">
        <v>227</v>
      </c>
      <c r="F160" s="7" t="s">
        <v>228</v>
      </c>
    </row>
    <row r="161" customFormat="false" ht="15" hidden="false" customHeight="true" outlineLevel="0" collapsed="false">
      <c r="A161" s="21" t="s">
        <v>229</v>
      </c>
      <c r="B161" s="7"/>
      <c r="C161" s="7"/>
      <c r="D161" s="22" t="n">
        <f aca="false">D13+D18+D23+D29+D40+D45+D50+D56+D61+D72+D77</f>
        <v>28700</v>
      </c>
      <c r="E161" s="8" t="s">
        <v>230</v>
      </c>
      <c r="F161" s="7"/>
    </row>
    <row r="162" customFormat="false" ht="15" hidden="false" customHeight="true" outlineLevel="0" collapsed="false">
      <c r="A162" s="21" t="s">
        <v>231</v>
      </c>
      <c r="B162" s="7"/>
      <c r="C162" s="7"/>
      <c r="D162" s="22" t="n">
        <f aca="false">D159-D160-D161</f>
        <v>356771</v>
      </c>
      <c r="E162" s="8" t="s">
        <v>232</v>
      </c>
      <c r="F162" s="7"/>
    </row>
    <row r="163" customFormat="false" ht="15" hidden="false" customHeight="true" outlineLevel="0" collapsed="false"/>
    <row r="164" customFormat="false" ht="15" hidden="false" customHeight="true" outlineLevel="0" collapsed="false">
      <c r="A164" s="27" t="s">
        <v>233</v>
      </c>
    </row>
    <row r="165" customFormat="false" ht="15" hidden="false" customHeight="false" outlineLevel="0" collapsed="false">
      <c r="A165" s="27" t="s">
        <v>234</v>
      </c>
    </row>
    <row r="166" customFormat="false" ht="15" hidden="false" customHeight="false" outlineLevel="0" collapsed="false">
      <c r="A166" s="27" t="s">
        <v>235</v>
      </c>
    </row>
    <row r="167" customFormat="false" ht="15" hidden="false" customHeight="false" outlineLevel="0" collapsed="false">
      <c r="A167" s="27" t="s">
        <v>236</v>
      </c>
    </row>
    <row r="168" customFormat="false" ht="15" hidden="false" customHeight="false" outlineLevel="0" collapsed="false">
      <c r="A168" s="27" t="s">
        <v>237</v>
      </c>
    </row>
  </sheetData>
  <mergeCells count="1">
    <mergeCell ref="A2:F2"/>
  </mergeCells>
  <hyperlinks>
    <hyperlink ref="E8" r:id="rId1" display="icbanq.com/P018076669"/>
    <hyperlink ref="E9" r:id="rId2" display="icbanq.com/P015973844"/>
    <hyperlink ref="E10" r:id="rId3" display="icbanq.com/P015971543"/>
    <hyperlink ref="E11" r:id="rId4" display="icbanq.com/P014159115"/>
    <hyperlink ref="E12" r:id="rId5" display="icbanq.com/P011433924"/>
    <hyperlink ref="E17" r:id="rId6" display="coupang.com/vp/products/181380607?vendorItemI…"/>
    <hyperlink ref="E22" r:id="rId7" display="coupang.com/vp/products/7839505281?vendorItem…"/>
    <hyperlink ref="E27" r:id="rId8" display="coupang.com/vp/products/169628214?vendorItemI…"/>
    <hyperlink ref="E28" r:id="rId9" display="coupang.com/vp/products/7589411879?vendorItem…"/>
    <hyperlink ref="E33" r:id="rId10" display="eleparts.co.kr/goods/view?no=2675965"/>
    <hyperlink ref="E34" r:id="rId11" display="eleparts.co.kr/goods/view?no=425"/>
    <hyperlink ref="E35" r:id="rId12" display="eleparts.co.kr/goods/view?no=2925651"/>
    <hyperlink ref="E36" r:id="rId13" display="eleparts.co.kr/goods/view?no=2925651"/>
    <hyperlink ref="E37" r:id="rId14" display="eleparts.co.kr/goods/view?no=425"/>
    <hyperlink ref="E38" r:id="rId15" display="eleparts.co.kr/goods/view?no=12816289"/>
    <hyperlink ref="E39" r:id="rId16" display="eleparts.co.kr/goods/view?no=19324904"/>
    <hyperlink ref="E44" r:id="rId17" display="coupang.com/vp/products/130058387?vendorItemI…"/>
    <hyperlink ref="E49" r:id="rId18" display="coupang.com/vp/products/6627385385?vendorItem…"/>
    <hyperlink ref="E54" r:id="rId19" display="coupang.com/vp/products/7575965502?vendorItem…"/>
    <hyperlink ref="E55" r:id="rId20" display="coupang.com/vp/products/7575965502?vendorItem…"/>
    <hyperlink ref="E60" r:id="rId21" display="devicemart.co.kr/goods/view?no=16080883"/>
    <hyperlink ref="E65" r:id="rId22" display="devicemart.co.kr/goods/view?no=10912779"/>
    <hyperlink ref="E66" r:id="rId23" display="devicemart.co.kr/goods/view?no=10912479"/>
    <hyperlink ref="E67" r:id="rId24" display="devicemart.co.kr/goods/view?no=10912781"/>
    <hyperlink ref="E68" r:id="rId25" display="devicemart.co.kr/goods/view?no=2674"/>
    <hyperlink ref="E69" r:id="rId26" display="devicemart.co.kr/goods/view?no=10911806"/>
    <hyperlink ref="E70" r:id="rId27" display="devicemart.co.kr/goods/view?no=10912759"/>
    <hyperlink ref="E71" r:id="rId28" display="devicemart.co.kr/goods/view?no=14991278"/>
    <hyperlink ref="E76" r:id="rId29" display="coupang.com/vp/products/8243268767?vendorItem…"/>
    <hyperlink ref="E82" r:id="rId30" display="allsteelshop.com/product/squareplate/9t"/>
    <hyperlink ref="E87" r:id="rId31" display="parts-parts.co.kr/product/detail.html?product…"/>
    <hyperlink ref="E88" r:id="rId32" display="parts-parts.co.kr/product/detail.html?product…"/>
    <hyperlink ref="E93" r:id="rId33" display="kr.misumi-ec.com/vona2/detail/110310556289/?H…"/>
    <hyperlink ref="E98" r:id="rId34" display="navimro.com/g/1029233/"/>
    <hyperlink ref="E100" r:id="rId35" display="navimro.com/g/37021/"/>
    <hyperlink ref="E101" r:id="rId36" display="https://www.navimro.com/g/37021/"/>
    <hyperlink ref="E106" r:id="rId37" display="nasakorea.com/goods/goods_view.php?goodsNo=60…"/>
    <hyperlink ref="E107" r:id="rId38" display="https://nasakorea.com/goods/goods_view.php?goodsNo=6090"/>
    <hyperlink ref="E117" r:id="rId39" display="11st.co.kr/products/8517880969"/>
    <hyperlink ref="E122" r:id="rId40" display="dgmagnet.com/product/초강력-네오디움-원형자석-5mm/13/"/>
    <hyperlink ref="E123" r:id="rId41" display="https://www.11st.co.kr/products/8517880969"/>
    <hyperlink ref="E128" r:id="rId42" display="https://dgmagnet.com/product/초강력-네오디움-원형자석-5mm/13/"/>
    <hyperlink ref="E133" r:id="rId43" display="https://www.11st.co.kr/products/9579455646"/>
    <hyperlink ref="E138" r:id="rId44" display="eleparts.co.kr/goods/view?no=12185313"/>
    <hyperlink ref="E143" r:id="rId45" display="ko.aliexpress.com/item/1005012020918299.html"/>
    <hyperlink ref="E144" r:id="rId46" display="https://www.eleparts.co.kr/goods/view?no=12185313"/>
    <hyperlink ref="E149" r:id="rId47" display="https://ko.aliexpress.com/item/1005012020918299.html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2026-10-07T16:09:55Z</dcterms:created>
  <dc:creator>openpyxl</dc:creator>
  <dc:description/>
  <dc:language>en-US</dc:language>
  <cp:lastModifiedBy/>
  <dcterms:modified xsi:type="dcterms:W3CDTF">2026-10-31T07:19:32Z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