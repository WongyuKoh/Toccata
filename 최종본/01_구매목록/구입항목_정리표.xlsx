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kwg/Desktop/mydrive/project/Toccata/최종본/01_구매목록/"/>
    </mc:Choice>
  </mc:AlternateContent>
  <xr:revisionPtr revIDLastSave="0" documentId="13_ncr:1_{12A35E82-1A70-7449-9613-29F68D3058D0}" xr6:coauthVersionLast="47" xr6:coauthVersionMax="47" xr10:uidLastSave="{00000000-0000-0000-0000-000000000000}"/>
  <bookViews>
    <workbookView xWindow="0" yWindow="660" windowWidth="17300" windowHeight="21680" xr2:uid="{00000000-000D-0000-FFFF-FFFF00000000}"/>
  </bookViews>
  <sheets>
    <sheet name="구입항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2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<sst xmlns="http://schemas.openxmlformats.org/spreadsheetml/2006/main" count="64" uniqueCount="61">
  <si>
    <t>품목</t>
  </si>
  <si>
    <t>단가</t>
  </si>
  <si>
    <t>갯수</t>
  </si>
  <si>
    <t>금액</t>
  </si>
  <si>
    <t>사이트 링크</t>
  </si>
  <si>
    <t>총합</t>
  </si>
  <si>
    <t>https://www.icbanq.com/P018076669</t>
  </si>
  <si>
    <t>https://www.icbanq.com/P016358529</t>
  </si>
  <si>
    <t>https://www.icbanq.com/P014968846</t>
  </si>
  <si>
    <t>https://www.icbanq.com/P015973844</t>
  </si>
  <si>
    <t>https://www.icbanq.com/P015971543</t>
  </si>
  <si>
    <t>https://www.icbanq.com/P014159115</t>
  </si>
  <si>
    <t>https://www.icbanq.com/P011433924</t>
  </si>
  <si>
    <t>https://www.coupang.com/vp/products/169628214?vendorItemId=90711442678</t>
  </si>
  <si>
    <t>https://www.coupang.com/vp/products/7589411879?vendorItemId=87148299583</t>
  </si>
  <si>
    <t>https://www.coupang.com/vp/products/181380607?vendorItemId=4341984346</t>
  </si>
  <si>
    <t>https://www.coupang.com/vp/products/7839505281?vendorItemId=90922897918</t>
  </si>
  <si>
    <t>https://www.coupang.com/vp/products/130058387?vendorItemId=3929147929</t>
  </si>
  <si>
    <t>https://www.coupang.com/vp/products/6627385385?vendorItemId=82316320569</t>
  </si>
  <si>
    <t>https://www.coupang.com/vp/products/7575965502?vendorItemId=87087416424</t>
  </si>
  <si>
    <t>https://www.coupang.com/vp/products/8243268767?vendorItemId=90747166966</t>
  </si>
  <si>
    <t>https://www.eleparts.co.kr/goods/view?no=2675965</t>
  </si>
  <si>
    <t>https://www.eleparts.co.kr/goods/view?no=425</t>
  </si>
  <si>
    <t>https://www.eleparts.co.kr/goods/view?no=2925651</t>
  </si>
  <si>
    <t>https://www.eleparts.co.kr/goods/view?no=12816289</t>
  </si>
  <si>
    <t>https://www.devicemart.co.kr/goods/view?no=10912779</t>
  </si>
  <si>
    <t>https://www.devicemart.co.kr/goods/view?no=10912479</t>
  </si>
  <si>
    <t>https://www.devicemart.co.kr/goods/view?no=10912781</t>
  </si>
  <si>
    <t>https://www.devicemart.co.kr/goods/view?no=2674</t>
  </si>
  <si>
    <t>https://www.devicemart.co.kr/goods/view?no=10911806</t>
  </si>
  <si>
    <t>https://www.devicemart.co.kr/goods/view?no=10912759</t>
  </si>
  <si>
    <t>https://www.devicemart.co.kr/goods/view?no=16080883</t>
  </si>
  <si>
    <t>홀센서 TI DRV5055A2QLPG</t>
  </si>
  <si>
    <t>JST-XH 6핀 케이블 한 쌍 (Adafruit 4876)</t>
  </si>
  <si>
    <t>100 nF 1206 칩 콘덴서 (삼성)</t>
  </si>
  <si>
    <t>캡스턴 나사 M3×6 버튼헤드 SUS304</t>
  </si>
  <si>
    <t>스텐 렌치볼트 M2.5 × 6 — 50개 봉 (Pi 4 + 화면 4)</t>
  </si>
  <si>
    <t>1 µF 적층 세라믹 콘덴서 50 V</t>
  </si>
  <si>
    <t>1 kΩ 1206 칩 저항 (Yageo)</t>
  </si>
  <si>
    <t>Apple USB-C 헤드폰 어댑터</t>
  </si>
  <si>
    <t>네오디뮴 자석 Ø8×3 12개 (뚜껑)</t>
  </si>
  <si>
    <t>삼미 CW-100B25 4인치 스피커 8 Ω</t>
  </si>
  <si>
    <t>세메다인 슈퍼X 8008 흑색 20 mL (MS 폴리머)</t>
  </si>
  <si>
    <t>화성고무 피스고무발 28×5 (RUB-E2)</t>
  </si>
  <si>
    <t>메리노 울 펠트 1T 20×30 cm (80 블랙)</t>
  </si>
  <si>
    <t>SUS304 환봉 Ø4×1 m — 건반 봉</t>
  </si>
  <si>
    <t>SUS304 환봉 Ø4×1 m — 레버 봉</t>
  </si>
  <si>
    <t>흑연 가루 30 ml (드로잉용 흑연 파우더 소)</t>
  </si>
  <si>
    <t>10 µF 1206 칩 콘덴서 16 V (삼성, 낱개)</t>
  </si>
  <si>
    <t>16심 리본 케이블 2651-16P (센서 선)</t>
  </si>
  <si>
    <t>3.5 mm 스테레오 AUX 선 3 m (페달)</t>
  </si>
  <si>
    <t>3.5 mm 스테레오 AUX 선 3 m 1가닥 (반으로 잘라 2가닥)</t>
  </si>
  <si>
    <t>16심 리본 케이블 추가 1 m (배선용)</t>
  </si>
  <si>
    <t>벨크로 링벨트 20 mm × 30 cm (배터리 고정)</t>
  </si>
  <si>
    <t>스텐 직결피스 8호 13 mm (고무발)</t>
  </si>
  <si>
    <t>스텐 렌치볼트 M4 × 12 (스피커 유닛)</t>
  </si>
  <si>
    <t>스텐 직결피스 8호 19 mm (그릴)</t>
  </si>
  <si>
    <t>PJ-313 3.5 mm 스테레오 잭</t>
  </si>
  <si>
    <t>스텐 트러스 태핑 피스 M3 × 12 (허브 선반 받침)</t>
  </si>
  <si>
    <t>접시머리 직결피스 8호 13 mm (뒤판·배터리 받침, 철 백색 아연)</t>
  </si>
  <si>
    <t>M3 방진 댐퍼(그로밋) 20개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</si>
</sst>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원&quot;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6584"/>
      </patternFill>
    </fill>
    <fill>
      <patternFill patternType="solid">
        <fgColor rgb="FFE7EE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4" fontId="0" fillId="3" borderId="0" xfId="0" applyNumberFormat="1" applyFont="1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ItemsTable" displayName="PurchaseItemsTable" ref="A1:E30" totalsRowShown="0">
  <tableColumns count="5">
    <tableColumn id="1" xr3:uid="{00000000-0010-0000-0000-000001000000}" name="품목"/>
    <tableColumn id="2" xr3:uid="{00000000-0010-0000-0000-000002000000}" name="단가"/>
    <tableColumn id="3" xr3:uid="{00000000-0010-0000-0000-000003000000}" name="갯수"/>
    <tableColumn id="4" xr3:uid="{00000000-0010-0000-0000-000004000000}" name="금액"/>
    <tableColumn id="5" xr3:uid="{00000000-0010-0000-0000-000005000000}" name="사이트 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169628214?vendorItemId=90711442678" TargetMode="External"/><Relationship Id="rId13" Type="http://schemas.openxmlformats.org/officeDocument/2006/relationships/hyperlink" Target="https://www.devicemart.co.kr/goods/view?no=10912479" TargetMode="External"/><Relationship Id="rId18" Type="http://schemas.openxmlformats.org/officeDocument/2006/relationships/hyperlink" Target="https://www.coupang.com/vp/products/130058387?vendorItemId=3929147929" TargetMode="External"/><Relationship Id="rId26" Type="http://schemas.openxmlformats.org/officeDocument/2006/relationships/hyperlink" Target="https://www.eleparts.co.kr/goods/view?no=2925651" TargetMode="External"/><Relationship Id="rId3" Type="http://schemas.openxmlformats.org/officeDocument/2006/relationships/hyperlink" Target="https://www.icbanq.com/P014968846" TargetMode="External"/><Relationship Id="rId21" Type="http://schemas.openxmlformats.org/officeDocument/2006/relationships/hyperlink" Target="https://www.coupang.com/vp/products/7575965502?vendorItemId=87087416424" TargetMode="External"/><Relationship Id="rId7" Type="http://schemas.openxmlformats.org/officeDocument/2006/relationships/hyperlink" Target="https://www.icbanq.com/P011433924" TargetMode="External"/><Relationship Id="rId12" Type="http://schemas.openxmlformats.org/officeDocument/2006/relationships/hyperlink" Target="https://www.devicemart.co.kr/goods/view?no=10912779" TargetMode="External"/><Relationship Id="rId17" Type="http://schemas.openxmlformats.org/officeDocument/2006/relationships/hyperlink" Target="https://www.devicemart.co.kr/goods/view?no=10912759" TargetMode="External"/><Relationship Id="rId25" Type="http://schemas.openxmlformats.org/officeDocument/2006/relationships/hyperlink" Target="https://www.eleparts.co.kr/goods/view?no=425" TargetMode="External"/><Relationship Id="rId2" Type="http://schemas.openxmlformats.org/officeDocument/2006/relationships/hyperlink" Target="https://www.icbanq.com/P016358529" TargetMode="External"/><Relationship Id="rId16" Type="http://schemas.openxmlformats.org/officeDocument/2006/relationships/hyperlink" Target="https://www.devicemart.co.kr/goods/view?no=10911806" TargetMode="External"/><Relationship Id="rId20" Type="http://schemas.openxmlformats.org/officeDocument/2006/relationships/hyperlink" Target="https://www.coupang.com/vp/products/7575965502?vendorItemId=87087416424" TargetMode="External"/><Relationship Id="rId29" Type="http://schemas.openxmlformats.org/officeDocument/2006/relationships/hyperlink" Target="https://www.eleparts.co.kr/goods/view?no=12816289" TargetMode="External"/><Relationship Id="rId1" Type="http://schemas.openxmlformats.org/officeDocument/2006/relationships/hyperlink" Target="https://www.icbanq.com/P018076669" TargetMode="External"/><Relationship Id="rId6" Type="http://schemas.openxmlformats.org/officeDocument/2006/relationships/hyperlink" Target="https://www.icbanq.com/P014159115" TargetMode="External"/><Relationship Id="rId11" Type="http://schemas.openxmlformats.org/officeDocument/2006/relationships/hyperlink" Target="https://www.coupang.com/vp/products/7839505281?vendorItemId=90922897918" TargetMode="External"/><Relationship Id="rId24" Type="http://schemas.openxmlformats.org/officeDocument/2006/relationships/hyperlink" Target="https://www.eleparts.co.kr/goods/view?no=2675965" TargetMode="External"/><Relationship Id="rId5" Type="http://schemas.openxmlformats.org/officeDocument/2006/relationships/hyperlink" Target="https://www.icbanq.com/P015971543" TargetMode="External"/><Relationship Id="rId15" Type="http://schemas.openxmlformats.org/officeDocument/2006/relationships/hyperlink" Target="https://www.devicemart.co.kr/goods/view?no=2674" TargetMode="External"/><Relationship Id="rId23" Type="http://schemas.openxmlformats.org/officeDocument/2006/relationships/hyperlink" Target="https://www.devicemart.co.kr/goods/view?no=16080883" TargetMode="External"/><Relationship Id="rId28" Type="http://schemas.openxmlformats.org/officeDocument/2006/relationships/hyperlink" Target="https://www.eleparts.co.kr/goods/view?no=425" TargetMode="External"/><Relationship Id="rId10" Type="http://schemas.openxmlformats.org/officeDocument/2006/relationships/hyperlink" Target="https://www.coupang.com/vp/products/181380607?vendorItemId=4341984346" TargetMode="External"/><Relationship Id="rId19" Type="http://schemas.openxmlformats.org/officeDocument/2006/relationships/hyperlink" Target="https://www.coupang.com/vp/products/6627385385?vendorItemId=82316320569" TargetMode="External"/><Relationship Id="rId4" Type="http://schemas.openxmlformats.org/officeDocument/2006/relationships/hyperlink" Target="https://www.icbanq.com/P015973844" TargetMode="External"/><Relationship Id="rId9" Type="http://schemas.openxmlformats.org/officeDocument/2006/relationships/hyperlink" Target="https://www.coupang.com/vp/products/7589411879?vendorItemId=87148299583" TargetMode="External"/><Relationship Id="rId14" Type="http://schemas.openxmlformats.org/officeDocument/2006/relationships/hyperlink" Target="https://www.devicemart.co.kr/goods/view?no=10912781" TargetMode="External"/><Relationship Id="rId22" Type="http://schemas.openxmlformats.org/officeDocument/2006/relationships/hyperlink" Target="https://www.coupang.com/vp/products/8243268767?vendorItemId=90747166966" TargetMode="External"/><Relationship Id="rId27" Type="http://schemas.openxmlformats.org/officeDocument/2006/relationships/hyperlink" Target="https://www.eleparts.co.kr/goods/view?no=2925651" TargetMode="External"/><Relationship Id="rId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F37" sqref="F37"/>
    </sheetView>
  </sheetViews>
  <sheetFormatPr baseColWidth="10" defaultColWidth="8.83203125" defaultRowHeight="14"/>
  <cols>
    <col min="1" max="1" width="28" customWidth="1"/>
    <col min="2" max="2" width="14" customWidth="1"/>
    <col min="3" max="3" width="10" customWidth="1"/>
    <col min="4" max="4" width="16" customWidth="1"/>
    <col min="5" max="5" width="42" customWidth="1"/>
  </cols>
  <sheetData>
    <row r="1" spans="1:5" ht="3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7" t="s">
        <v>32</v>
      </c>
      <c r="B2" s="2">
        <v>891</v>
      </c>
      <c r="C2" s="3">
        <v>100</v>
      </c>
      <c r="D2" s="2">
        <f>B2*C2</f>
        <v>89100</v>
      </c>
      <c r="E2" s="7" t="s">
        <v>6</v>
      </c>
    </row>
    <row r="3" spans="1:5">
      <c r="A3" s="7" t="s">
        <v>33</v>
      </c>
      <c r="B3" s="2">
        <v>2200</v>
      </c>
      <c r="C3" s="3">
        <v>2</v>
      </c>
      <c r="D3" s="2">
        <f t="shared" ref="D3:D15" si="0">B3*C3</f>
        <v>4400</v>
      </c>
      <c r="E3" s="7" t="s">
        <v>7</v>
      </c>
    </row>
    <row r="4" spans="1:5">
      <c r="A4" s="7" t="s">
        <v>34</v>
      </c>
      <c r="B4" s="2">
        <v>44</v>
      </c>
      <c r="C4" s="3">
        <v>97</v>
      </c>
      <c r="D4" s="2">
        <f t="shared" si="0"/>
        <v>4268</v>
      </c>
      <c r="E4" s="7" t="s">
        <v>8</v>
      </c>
    </row>
    <row r="5" spans="1:5">
      <c r="A5" s="7" t="s">
        <v>35</v>
      </c>
      <c r="B5" s="2">
        <v>11</v>
      </c>
      <c r="C5" s="3">
        <v>100</v>
      </c>
      <c r="D5" s="2">
        <f t="shared" si="0"/>
        <v>1100</v>
      </c>
      <c r="E5" s="7" t="s">
        <v>9</v>
      </c>
    </row>
    <row r="6" spans="1:5">
      <c r="A6" s="7" t="s">
        <v>36</v>
      </c>
      <c r="B6" s="2">
        <v>11</v>
      </c>
      <c r="C6" s="3">
        <v>50</v>
      </c>
      <c r="D6" s="2">
        <f t="shared" si="0"/>
        <v>550</v>
      </c>
      <c r="E6" s="7" t="s">
        <v>10</v>
      </c>
    </row>
    <row r="7" spans="1:5">
      <c r="A7" s="7" t="s">
        <v>37</v>
      </c>
      <c r="B7" s="2">
        <v>133</v>
      </c>
      <c r="C7" s="3">
        <v>4</v>
      </c>
      <c r="D7" s="2">
        <f t="shared" si="0"/>
        <v>532</v>
      </c>
      <c r="E7" s="7" t="s">
        <v>11</v>
      </c>
    </row>
    <row r="8" spans="1:5">
      <c r="A8" s="7" t="s">
        <v>38</v>
      </c>
      <c r="B8" s="2">
        <v>44</v>
      </c>
      <c r="C8" s="3">
        <v>10</v>
      </c>
      <c r="D8" s="2">
        <f t="shared" si="0"/>
        <v>440</v>
      </c>
      <c r="E8" s="7" t="s">
        <v>12</v>
      </c>
    </row>
    <row r="9" spans="1:5">
      <c r="A9" s="8" t="s">
        <v>39</v>
      </c>
      <c r="B9" s="2">
        <v>14260</v>
      </c>
      <c r="C9" s="3">
        <v>1</v>
      </c>
      <c r="D9" s="2">
        <f t="shared" si="0"/>
        <v>14260</v>
      </c>
      <c r="E9" s="8" t="s">
        <v>13</v>
      </c>
    </row>
    <row r="10" spans="1:5">
      <c r="A10" s="8" t="s">
        <v>40</v>
      </c>
      <c r="B10" s="2">
        <v>3890</v>
      </c>
      <c r="C10" s="3">
        <v>1</v>
      </c>
      <c r="D10" s="2">
        <f t="shared" si="0"/>
        <v>3890</v>
      </c>
      <c r="E10" s="8" t="s">
        <v>14</v>
      </c>
    </row>
    <row r="11" spans="1:5">
      <c r="A11" s="8" t="s">
        <v>41</v>
      </c>
      <c r="B11" s="2">
        <v>8500</v>
      </c>
      <c r="C11" s="3">
        <v>2</v>
      </c>
      <c r="D11" s="2">
        <f t="shared" si="0"/>
        <v>17000</v>
      </c>
      <c r="E11" s="8" t="s">
        <v>15</v>
      </c>
    </row>
    <row r="12" spans="1:5">
      <c r="A12" s="8" t="s">
        <v>42</v>
      </c>
      <c r="B12" s="2">
        <v>8000</v>
      </c>
      <c r="C12" s="3">
        <v>2</v>
      </c>
      <c r="D12" s="2">
        <f t="shared" si="0"/>
        <v>16000</v>
      </c>
      <c r="E12" s="8" t="s">
        <v>16</v>
      </c>
    </row>
    <row r="13" spans="1:5">
      <c r="A13" s="8" t="s">
        <v>43</v>
      </c>
      <c r="B13" s="2">
        <v>433</v>
      </c>
      <c r="C13" s="3">
        <v>20</v>
      </c>
      <c r="D13" s="2">
        <f t="shared" si="0"/>
        <v>8660</v>
      </c>
      <c r="E13" s="8" t="s">
        <v>17</v>
      </c>
    </row>
    <row r="14" spans="1:5">
      <c r="A14" s="8" t="s">
        <v>44</v>
      </c>
      <c r="B14" s="2">
        <v>6900</v>
      </c>
      <c r="C14" s="3">
        <v>1</v>
      </c>
      <c r="D14" s="2">
        <f t="shared" si="0"/>
        <v>6900</v>
      </c>
      <c r="E14" s="8" t="s">
        <v>18</v>
      </c>
    </row>
    <row r="15" spans="1:5">
      <c r="A15" s="8" t="s">
        <v>45</v>
      </c>
      <c r="B15" s="2">
        <v>1500</v>
      </c>
      <c r="C15" s="3">
        <v>2</v>
      </c>
      <c r="D15" s="2">
        <f t="shared" si="0"/>
        <v>3000</v>
      </c>
      <c r="E15" s="8" t="s">
        <v>19</v>
      </c>
    </row>
    <row r="16" spans="1:5">
      <c r="A16" s="8" t="s">
        <v>46</v>
      </c>
      <c r="B16" s="2">
        <v>1500</v>
      </c>
      <c r="C16" s="3">
        <v>2</v>
      </c>
      <c r="D16" s="2">
        <f t="shared" ref="D16:D21" si="1">B16*C16</f>
        <v>3000</v>
      </c>
      <c r="E16" s="8" t="s">
        <v>19</v>
      </c>
    </row>
    <row r="17" spans="1:5">
      <c r="A17" s="8" t="s">
        <v>47</v>
      </c>
      <c r="B17" s="2">
        <v>3000</v>
      </c>
      <c r="C17" s="3">
        <v>1</v>
      </c>
      <c r="D17" s="2">
        <f t="shared" si="1"/>
        <v>3000</v>
      </c>
      <c r="E17" s="8" t="s">
        <v>20</v>
      </c>
    </row>
    <row r="18" spans="1:5">
      <c r="A18" s="9" t="s">
        <v>48</v>
      </c>
      <c r="B18" s="2">
        <v>253</v>
      </c>
      <c r="C18" s="3">
        <v>16</v>
      </c>
      <c r="D18" s="2">
        <f t="shared" si="1"/>
        <v>4048</v>
      </c>
      <c r="E18" s="9" t="s">
        <v>21</v>
      </c>
    </row>
    <row r="19" spans="1:5">
      <c r="A19" s="9" t="s">
        <v>49</v>
      </c>
      <c r="B19" s="2">
        <v>1529</v>
      </c>
      <c r="C19" s="3">
        <v>2</v>
      </c>
      <c r="D19" s="2">
        <f t="shared" si="1"/>
        <v>3058</v>
      </c>
      <c r="E19" s="9" t="s">
        <v>22</v>
      </c>
    </row>
    <row r="20" spans="1:5">
      <c r="A20" s="9" t="s">
        <v>50</v>
      </c>
      <c r="B20" s="2">
        <v>2550</v>
      </c>
      <c r="C20" s="3">
        <v>1</v>
      </c>
      <c r="D20" s="2">
        <f t="shared" si="1"/>
        <v>2550</v>
      </c>
      <c r="E20" s="9" t="s">
        <v>23</v>
      </c>
    </row>
    <row r="21" spans="1:5">
      <c r="A21" s="9" t="s">
        <v>51</v>
      </c>
      <c r="B21" s="2">
        <v>2550</v>
      </c>
      <c r="C21" s="3">
        <v>1</v>
      </c>
      <c r="D21" s="2">
        <f t="shared" si="1"/>
        <v>2550</v>
      </c>
      <c r="E21" s="9" t="s">
        <v>23</v>
      </c>
    </row>
    <row r="22" spans="1:5">
      <c r="A22" s="9" t="s">
        <v>52</v>
      </c>
      <c r="B22" s="2">
        <v>1529</v>
      </c>
      <c r="C22" s="3">
        <v>1</v>
      </c>
      <c r="D22" s="2">
        <f t="shared" ref="D22:D30" si="2">B22*C22</f>
        <v>1529</v>
      </c>
      <c r="E22" s="9" t="s">
        <v>22</v>
      </c>
    </row>
    <row r="23" spans="1:5">
      <c r="A23" s="9" t="s">
        <v>53</v>
      </c>
      <c r="B23" s="2">
        <v>863</v>
      </c>
      <c r="C23" s="3">
        <v>1</v>
      </c>
      <c r="D23" s="2">
        <f t="shared" si="2"/>
        <v>863</v>
      </c>
      <c r="E23" s="9" t="s">
        <v>24</v>
      </c>
    </row>
    <row r="24" spans="1:5">
      <c r="A24" s="10" t="s">
        <v>54</v>
      </c>
      <c r="B24" s="2">
        <v>66</v>
      </c>
      <c r="C24" s="3">
        <v>20</v>
      </c>
      <c r="D24" s="2">
        <f t="shared" si="2"/>
        <v>1320</v>
      </c>
      <c r="E24" s="10" t="s">
        <v>25</v>
      </c>
    </row>
    <row r="25" spans="1:5">
      <c r="A25" s="10" t="s">
        <v>55</v>
      </c>
      <c r="B25" s="2">
        <v>66</v>
      </c>
      <c r="C25" s="3">
        <v>10</v>
      </c>
      <c r="D25" s="2">
        <f t="shared" si="2"/>
        <v>660</v>
      </c>
      <c r="E25" s="10" t="s">
        <v>26</v>
      </c>
    </row>
    <row r="26" spans="1:5">
      <c r="A26" s="10" t="s">
        <v>56</v>
      </c>
      <c r="B26" s="2">
        <v>55</v>
      </c>
      <c r="C26" s="3">
        <v>10</v>
      </c>
      <c r="D26" s="2">
        <f t="shared" si="2"/>
        <v>550</v>
      </c>
      <c r="E26" s="10" t="s">
        <v>27</v>
      </c>
    </row>
    <row r="27" spans="1:5">
      <c r="A27" s="10" t="s">
        <v>57</v>
      </c>
      <c r="B27" s="2">
        <v>154</v>
      </c>
      <c r="C27" s="3">
        <v>3</v>
      </c>
      <c r="D27" s="2">
        <f t="shared" si="2"/>
        <v>462</v>
      </c>
      <c r="E27" s="10" t="s">
        <v>28</v>
      </c>
    </row>
    <row r="28" spans="1:5">
      <c r="A28" s="10" t="s">
        <v>58</v>
      </c>
      <c r="B28" s="2">
        <v>44</v>
      </c>
      <c r="C28" s="3">
        <v>10</v>
      </c>
      <c r="D28" s="2">
        <f t="shared" si="2"/>
        <v>440</v>
      </c>
      <c r="E28" s="10" t="s">
        <v>29</v>
      </c>
    </row>
    <row r="29" spans="1:5">
      <c r="A29" s="10" t="s">
        <v>59</v>
      </c>
      <c r="B29" s="2">
        <v>33</v>
      </c>
      <c r="C29" s="3">
        <v>10</v>
      </c>
      <c r="D29" s="2">
        <f t="shared" si="2"/>
        <v>330</v>
      </c>
      <c r="E29" s="10" t="s">
        <v>30</v>
      </c>
    </row>
    <row r="30" spans="1:5">
      <c r="A30" s="10" t="s">
        <v>60</v>
      </c>
      <c r="B30" s="2">
        <v>5500</v>
      </c>
      <c r="C30" s="3">
        <v>1</v>
      </c>
      <c r="D30" s="2">
        <f t="shared" si="2"/>
        <v>5500</v>
      </c>
      <c r="E30" s="10" t="s">
        <v>31</v>
      </c>
    </row>
    <row r="31" spans="1:5" ht="16">
      <c r="A31" s="4" t="s">
        <v>5</v>
      </c>
      <c r="B31" s="5"/>
      <c r="C31" s="4"/>
      <c r="D31" s="6">
        <f>SUM(D2:D30)</f>
        <v>199960</v>
      </c>
      <c r="E31" s="4"/>
    </row>
  </sheetData>
  <hyperlinks>
    <hyperlink ref="E2" r:id="rId1" tooltip="판매 페이지 열기" xr:uid="{E7E54B79-4F43-4248-8796-493402FD83D5}"/>
    <hyperlink ref="E3" r:id="rId2" tooltip="판매 페이지 열기" xr:uid="{72EC6ABD-4C34-E446-8FE7-6D73E5789C19}"/>
    <hyperlink ref="E4" r:id="rId3" tooltip="판매 페이지 열기" xr:uid="{CB1832E9-A88C-DA4B-AC9D-465592C80DCE}"/>
    <hyperlink ref="E5" r:id="rId4" tooltip="판매 페이지 열기" xr:uid="{850D9EC9-C7F4-9F4A-93FC-A28DF877C646}"/>
    <hyperlink ref="E6" r:id="rId5" tooltip="판매 페이지 열기" xr:uid="{02AFE317-81DE-514D-8A58-32DA105FCA45}"/>
    <hyperlink ref="E7" r:id="rId6" tooltip="판매 페이지 열기" xr:uid="{71FBCBDA-F87D-394A-AA1C-A78B20CBF26D}"/>
    <hyperlink ref="E8" r:id="rId7" tooltip="판매 페이지 열기" xr:uid="{473EC4CF-DF68-2244-9F8D-F8921F2C1E3A}"/>
    <hyperlink ref="E9" r:id="rId8" tooltip="판매 페이지 열기" xr:uid="{9FA5953F-6D4A-D84E-AEFB-14A720D30A29}"/>
    <hyperlink ref="E10" r:id="rId9" tooltip="판매 페이지 열기" xr:uid="{2DB80F98-D3A0-E540-8AF7-EC6FA142AB75}"/>
    <hyperlink ref="E11" r:id="rId10" tooltip="판매 페이지 열기" xr:uid="{C736ACB4-4AFB-CF43-BF03-FE3DC79FE034}"/>
    <hyperlink ref="E12" r:id="rId11" tooltip="판매 페이지 열기" xr:uid="{C08992DF-762E-5741-AE1D-68C120D2B4CB}"/>
    <hyperlink ref="E24" r:id="rId12" tooltip="판매 페이지 열기" xr:uid="{FDD66DC6-E445-A242-B520-7A20CD3015D8}"/>
    <hyperlink ref="E25" r:id="rId13" tooltip="판매 페이지 열기" xr:uid="{382815AD-929F-0E4D-833A-8566E595B83F}"/>
    <hyperlink ref="E26" r:id="rId14" tooltip="판매 페이지 열기" xr:uid="{2D865D6F-24CB-DA48-96AB-37E28531D5F9}"/>
    <hyperlink ref="E27" r:id="rId15" tooltip="판매 페이지 열기" xr:uid="{F6B0A7E1-5B86-C348-87D2-2EEA3BEE8D0D}"/>
    <hyperlink ref="E28" r:id="rId16" tooltip="판매 페이지 열기" xr:uid="{FC8BF14B-C094-AD46-B4C6-DA2D21101468}"/>
    <hyperlink ref="E29" r:id="rId17" tooltip="판매 페이지 열기" xr:uid="{AC3E6266-E80D-0A4D-AB5C-CC45FD4CDF87}"/>
    <hyperlink ref="E13" r:id="rId18" tooltip="판매 페이지 열기" xr:uid="{765526A1-58ED-9D43-8784-95E32F4F20A5}"/>
    <hyperlink ref="E14" r:id="rId19" tooltip="판매 페이지 열기" xr:uid="{8F613D1F-4CD7-B046-AA9A-8DDFCEDF1225}"/>
    <hyperlink ref="E15" r:id="rId20" tooltip="판매 페이지 열기" xr:uid="{3C3C0381-8C80-4E4B-90E8-B1C3AC4A64A4}"/>
    <hyperlink ref="E16" r:id="rId21" tooltip="판매 페이지 열기" xr:uid="{FE4C758B-6097-8640-A85C-4C9061C5F525}"/>
    <hyperlink ref="E17" r:id="rId22" tooltip="판매 페이지 열기" xr:uid="{76F75CF5-6210-FE4D-8254-6868216CE978}"/>
    <hyperlink ref="E30" r:id="rId23" tooltip="판매 페이지 열기" xr:uid="{89738EC5-67A4-B84A-9DE9-825D8C8B652E}"/>
    <hyperlink ref="E18" r:id="rId24" tooltip="판매 페이지 열기" xr:uid="{D564BFEA-238A-5442-9AC8-68F139BB44D0}"/>
    <hyperlink ref="E19" r:id="rId25" tooltip="판매 페이지 열기" xr:uid="{1BCD6081-CF50-F247-AC94-744CDBDE7322}"/>
    <hyperlink ref="E20" r:id="rId26" tooltip="판매 페이지 열기" xr:uid="{D0C9EFB0-FF52-CB42-8141-726121D4C8F0}"/>
    <hyperlink ref="E21" r:id="rId27" tooltip="판매 페이지 열기" xr:uid="{2B2957E7-5532-8048-8EAC-1936CC63A680}"/>
    <hyperlink ref="E22" r:id="rId28" tooltip="판매 페이지 열기" xr:uid="{35704C0D-D3ED-D440-92BF-DC0E70F09608}"/>
    <hyperlink ref="E23" r:id="rId29" tooltip="판매 페이지 열기" xr:uid="{1B78E040-A00C-5E47-9274-0CD760A3C12C}"/>
  </hyperlinks>
  <pageMargins left="0.7" right="0.7" top="0.75" bottom="0.75" header="0.3" footer="0.3"/>
  <pageSetup paperSize="9" orientation="portrait" horizontalDpi="0" verticalDpi="0"/>
  <tableParts count="1">
    <tablePart r:id="rId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구입항목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고원규</cp:lastModifiedBy>
  <dcterms:modified xsi:type="dcterms:W3CDTF">2026-10-07T16:23:30Z</dcterms:modified>
</cp:coreProperties>
</file>