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0" yWindow="660" windowWidth="34560" windowHeight="21680" tabRatio="600" firstSheet="0" activeTab="1" autoFilterDateGrouping="1"/>
  </bookViews>
  <sheets>
    <sheet xmlns:r="http://schemas.openxmlformats.org/officeDocument/2006/relationships" name="학교 구매" sheetId="1" state="visible" r:id="rId1"/>
    <sheet xmlns:r="http://schemas.openxmlformats.org/officeDocument/2006/relationships" name="사비 구매" sheetId="2" state="visible" r:id="rId2"/>
    <sheet xmlns:r="http://schemas.openxmlformats.org/officeDocument/2006/relationships" name="요약" sheetId="3" state="visible" r:id="rId3"/>
  </sheets>
  <definedNames>
    <definedName name="_xlnm._FilterDatabase" localSheetId="0" hidden="1">'학교 구매'!$A$1:$F$30</definedName>
    <definedName name="_xlnm._FilterDatabase" localSheetId="1" hidden="1">'사비 구매'!$A$1:$F$25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2"/>
      <scheme val="minor"/>
    </font>
    <font>
      <name val="Calibri"/>
      <family val="2"/>
      <b val="1"/>
      <color theme="1"/>
      <sz val="12"/>
      <scheme val="minor"/>
    </font>
    <font>
      <name val="Menlo"/>
      <family val="2"/>
      <b val="1"/>
      <color rgb="FF1F2937"/>
      <sz val="14"/>
    </font>
    <font>
      <name val="맑은 고딕"/>
      <charset val="129"/>
      <family val="2"/>
      <color rgb="FF000000"/>
      <sz val="16"/>
    </font>
    <font>
      <name val="맑은 고딕"/>
      <charset val="129"/>
      <family val="2"/>
      <color rgb="FF111111"/>
      <sz val="14"/>
    </font>
    <font>
      <name val="맑은 고딕"/>
      <charset val="129"/>
      <family val="2"/>
      <color rgb="FF111111"/>
      <sz val="16"/>
    </font>
  </fonts>
  <fills count="6">
    <fill>
      <patternFill/>
    </fill>
    <fill>
      <patternFill patternType="gray125"/>
    </fill>
    <fill>
      <patternFill patternType="solid">
        <fgColor theme="4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2" tint="-0.0999786370433668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3" fontId="0" fillId="0" borderId="0" pivotButton="0" quotePrefix="0" xfId="0"/>
    <xf numFmtId="0" fontId="0" fillId="2" borderId="0" pivotButton="0" quotePrefix="0" xfId="0"/>
    <xf numFmtId="3" fontId="0" fillId="2" borderId="0" pivotButton="0" quotePrefix="0" xfId="0"/>
    <xf numFmtId="0" fontId="0" fillId="3" borderId="0" pivotButton="0" quotePrefix="0" xfId="0"/>
    <xf numFmtId="3" fontId="0" fillId="3" borderId="0" pivotButton="0" quotePrefix="0" xfId="0"/>
    <xf numFmtId="0" fontId="0" fillId="4" borderId="0" pivotButton="0" quotePrefix="0" xfId="0"/>
    <xf numFmtId="3" fontId="0" fillId="4" borderId="0" pivotButton="0" quotePrefix="0" xfId="0"/>
    <xf numFmtId="0" fontId="0" fillId="5" borderId="0" pivotButton="0" quotePrefix="0" xfId="0"/>
    <xf numFmtId="3" fontId="0" fillId="5" borderId="0" pivotButton="0" quotePrefix="0" xfId="0"/>
    <xf numFmtId="0" fontId="1" fillId="0" borderId="0" pivotButton="0" quotePrefix="0" xfId="0"/>
    <xf numFmtId="3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icbanq.com/P018076669" TargetMode="External" Id="rId1"/><Relationship Type="http://schemas.openxmlformats.org/officeDocument/2006/relationships/hyperlink" Target="https://www.icbanq.com/P016358529" TargetMode="External" Id="rId2"/><Relationship Type="http://schemas.openxmlformats.org/officeDocument/2006/relationships/hyperlink" Target="https://www.icbanq.com/P014968846" TargetMode="External" Id="rId3"/><Relationship Type="http://schemas.openxmlformats.org/officeDocument/2006/relationships/hyperlink" Target="https://www.icbanq.com/P015973844" TargetMode="External" Id="rId4"/><Relationship Type="http://schemas.openxmlformats.org/officeDocument/2006/relationships/hyperlink" Target="https://www.icbanq.com/P015971543" TargetMode="External" Id="rId5"/><Relationship Type="http://schemas.openxmlformats.org/officeDocument/2006/relationships/hyperlink" Target="https://www.icbanq.com/P014159115" TargetMode="External" Id="rId6"/><Relationship Type="http://schemas.openxmlformats.org/officeDocument/2006/relationships/hyperlink" Target="https://www.icbanq.com/P011433924" TargetMode="External" Id="rId7"/><Relationship Type="http://schemas.openxmlformats.org/officeDocument/2006/relationships/hyperlink" Target="https://www.coupang.com/vp/products/169628214?vendorItemId=90711442678" TargetMode="External" Id="rId8"/><Relationship Type="http://schemas.openxmlformats.org/officeDocument/2006/relationships/hyperlink" Target="https://www.coupang.com/vp/products/7589411879?vendorItemId=87148299583" TargetMode="External" Id="rId9"/><Relationship Type="http://schemas.openxmlformats.org/officeDocument/2006/relationships/hyperlink" Target="https://www.coupang.com/vp/products/181380607?vendorItemId=4341984346" TargetMode="External" Id="rId10"/><Relationship Type="http://schemas.openxmlformats.org/officeDocument/2006/relationships/hyperlink" Target="https://www.coupang.com/vp/products/7839505281?vendorItemId=90922897918" TargetMode="External" Id="rId11"/><Relationship Type="http://schemas.openxmlformats.org/officeDocument/2006/relationships/hyperlink" Target="https://www.coupang.com/vp/products/130058387?vendorItemId=3929147929" TargetMode="External" Id="rId12"/><Relationship Type="http://schemas.openxmlformats.org/officeDocument/2006/relationships/hyperlink" Target="https://www.coupang.com/vp/products/6627385385?vendorItemId=82316320569" TargetMode="External" Id="rId13"/><Relationship Type="http://schemas.openxmlformats.org/officeDocument/2006/relationships/hyperlink" Target="https://www.coupang.com/vp/products/7575965502?vendorItemId=87087416424" TargetMode="External" Id="rId14"/><Relationship Type="http://schemas.openxmlformats.org/officeDocument/2006/relationships/hyperlink" Target="https://www.coupang.com/vp/products/7575965502?vendorItemId=87087416424" TargetMode="External" Id="rId15"/><Relationship Type="http://schemas.openxmlformats.org/officeDocument/2006/relationships/hyperlink" Target="https://www.coupang.com/vp/products/8243268767?vendorItemId=90747166966" TargetMode="External" Id="rId16"/><Relationship Type="http://schemas.openxmlformats.org/officeDocument/2006/relationships/hyperlink" Target="https://www.eleparts.co.kr/goods/view?no=2675965" TargetMode="External" Id="rId17"/><Relationship Type="http://schemas.openxmlformats.org/officeDocument/2006/relationships/hyperlink" Target="https://www.eleparts.co.kr/goods/view?no=425" TargetMode="External" Id="rId18"/><Relationship Type="http://schemas.openxmlformats.org/officeDocument/2006/relationships/hyperlink" Target="https://www.eleparts.co.kr/goods/view?no=2925651" TargetMode="External" Id="rId19"/><Relationship Type="http://schemas.openxmlformats.org/officeDocument/2006/relationships/hyperlink" Target="https://www.eleparts.co.kr/goods/view?no=2925651" TargetMode="External" Id="rId20"/><Relationship Type="http://schemas.openxmlformats.org/officeDocument/2006/relationships/hyperlink" Target="https://www.eleparts.co.kr/goods/view?no=425" TargetMode="External" Id="rId21"/><Relationship Type="http://schemas.openxmlformats.org/officeDocument/2006/relationships/hyperlink" Target="https://www.eleparts.co.kr/goods/view?no=12816289" TargetMode="External" Id="rId22"/><Relationship Type="http://schemas.openxmlformats.org/officeDocument/2006/relationships/hyperlink" Target="https://www.devicemart.co.kr/goods/view?no=10912779" TargetMode="External" Id="rId23"/><Relationship Type="http://schemas.openxmlformats.org/officeDocument/2006/relationships/hyperlink" Target="https://www.devicemart.co.kr/goods/view?no=10912479" TargetMode="External" Id="rId24"/><Relationship Type="http://schemas.openxmlformats.org/officeDocument/2006/relationships/hyperlink" Target="https://www.devicemart.co.kr/goods/view?no=10912781" TargetMode="External" Id="rId25"/><Relationship Type="http://schemas.openxmlformats.org/officeDocument/2006/relationships/hyperlink" Target="https://www.devicemart.co.kr/goods/view?no=2674" TargetMode="External" Id="rId26"/><Relationship Type="http://schemas.openxmlformats.org/officeDocument/2006/relationships/hyperlink" Target="https://www.devicemart.co.kr/goods/view?no=10911806" TargetMode="External" Id="rId27"/></Relationships>
</file>

<file path=xl/worksheets/_rels/sheet2.xml.rels><Relationships xmlns="http://schemas.openxmlformats.org/package/2006/relationships"><Relationship Type="http://schemas.openxmlformats.org/officeDocument/2006/relationships/hyperlink" Target="https://www.allsteelshop.com/product/squareplate/9t" TargetMode="External" Id="rId1"/><Relationship Type="http://schemas.openxmlformats.org/officeDocument/2006/relationships/hyperlink" Target="https://kr.misumi-ec.com/vona2/detail/110310556289/?HissuCode=C-UA90R5-3-0.5" TargetMode="External" Id="rId2"/><Relationship Type="http://schemas.openxmlformats.org/officeDocument/2006/relationships/hyperlink" Target="https://parts-parts.co.kr/product/detail.html?product_no=2383" TargetMode="External" Id="rId3"/><Relationship Type="http://schemas.openxmlformats.org/officeDocument/2006/relationships/hyperlink" Target="https://parts-parts.co.kr/product/detail.html?product_no=303" TargetMode="External" Id="rId4"/><Relationship Type="http://schemas.openxmlformats.org/officeDocument/2006/relationships/hyperlink" Target="https://www.navimro.com/g/1029233/" TargetMode="External" Id="rId5"/><Relationship Type="http://schemas.openxmlformats.org/officeDocument/2006/relationships/hyperlink" Target="https://www.navimro.com/g/1028764/" TargetMode="External" Id="rId6"/><Relationship Type="http://schemas.openxmlformats.org/officeDocument/2006/relationships/hyperlink" Target="https://www.navimro.com/g/37021/" TargetMode="External" Id="rId7"/><Relationship Type="http://schemas.openxmlformats.org/officeDocument/2006/relationships/hyperlink" Target="https://www.nasakorea.com/goods/goods_view.php?goodsNo=6009" TargetMode="External" Id="rId8"/><Relationship Type="http://schemas.openxmlformats.org/officeDocument/2006/relationships/hyperlink" Target="https://nasakorea.com/goods/goods_view.php?goodsNo=6090" TargetMode="External" Id="rId9"/><Relationship Type="http://schemas.openxmlformats.org/officeDocument/2006/relationships/hyperlink" Target="https://studiobunt.com/product/detail.html?product_no=4117" TargetMode="External" Id="rId10"/><Relationship Type="http://schemas.openxmlformats.org/officeDocument/2006/relationships/hyperlink" Target="https://www.11st.co.kr/products/9579455646" TargetMode="External" Id="rId11"/><Relationship Type="http://schemas.openxmlformats.org/officeDocument/2006/relationships/hyperlink" Target="https://www.11st.co.kr/products/7591566666" TargetMode="External" Id="rId12"/><Relationship Type="http://schemas.openxmlformats.org/officeDocument/2006/relationships/hyperlink" Target="https://www.11st.co.kr/products/8517880969" TargetMode="External" Id="rId13"/><Relationship Type="http://schemas.openxmlformats.org/officeDocument/2006/relationships/hyperlink" Target="https://dgmagnet.com/product/%EC%B4%88%EA%B0%95%EB%A0%A5-%EB%84%A4%EC%98%A4%EB%94%94%EC%9B%80-%EC%9B%90%ED%98%95%EC%9E%90%EC%84%9D-5mm/13/" TargetMode="External" Id="rId14"/><Relationship Type="http://schemas.openxmlformats.org/officeDocument/2006/relationships/hyperlink" Target="https://www.coupang.com/vp/products/8826157891?vendorItemId=92708146513" TargetMode="External" Id="rId1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3"/>
  <sheetViews>
    <sheetView workbookViewId="0">
      <selection activeCell="E41" sqref="E41"/>
    </sheetView>
  </sheetViews>
  <sheetFormatPr baseColWidth="10" defaultRowHeight="16"/>
  <cols>
    <col width="46.83203125" customWidth="1" min="1" max="1"/>
    <col width="10.83203125" customWidth="1" min="2" max="2"/>
    <col width="6.83203125" customWidth="1" min="3" max="3"/>
    <col width="12.83203125" customWidth="1" min="4" max="4"/>
    <col width="30.83203125" customWidth="1" min="5" max="5"/>
    <col width="70.83203125" customWidth="1" min="6" max="6"/>
  </cols>
  <sheetData>
    <row r="1">
      <c r="A1" s="10" t="inlineStr">
        <is>
          <t>품목명</t>
        </is>
      </c>
      <c r="B1" s="10" t="inlineStr">
        <is>
          <t>단가</t>
        </is>
      </c>
      <c r="C1" s="10" t="inlineStr">
        <is>
          <t>수량</t>
        </is>
      </c>
      <c r="D1" s="10" t="inlineStr">
        <is>
          <t>총금액</t>
        </is>
      </c>
      <c r="E1" s="10" t="inlineStr">
        <is>
          <t>구매 사이트</t>
        </is>
      </c>
      <c r="F1" s="10" t="inlineStr">
        <is>
          <t>제품 링크(URL)</t>
        </is>
      </c>
    </row>
    <row r="2">
      <c r="A2" s="2" t="inlineStr">
        <is>
          <t>홀센서 TI DRV5055A2QLPG</t>
        </is>
      </c>
      <c r="B2" s="3" t="n">
        <v>891</v>
      </c>
      <c r="C2" s="3" t="n">
        <v>100</v>
      </c>
      <c r="D2" s="3">
        <f>B2*C2</f>
        <v/>
      </c>
      <c r="E2" s="2" t="inlineStr">
        <is>
          <t>아이씨뱅큐</t>
        </is>
      </c>
      <c r="F2" s="2" t="inlineStr">
        <is>
          <t>https://www.icbanq.com/P018076669</t>
        </is>
      </c>
    </row>
    <row r="3">
      <c r="A3" s="2" t="inlineStr">
        <is>
          <t>캡스턴 나사 M3×6 버튼헤드 SUS304</t>
        </is>
      </c>
      <c r="B3" s="3" t="n">
        <v>11</v>
      </c>
      <c r="C3" s="3" t="n">
        <v>100</v>
      </c>
      <c r="D3" s="3">
        <f>B3*C3</f>
        <v/>
      </c>
      <c r="E3" s="2" t="inlineStr">
        <is>
          <t>아이씨뱅큐</t>
        </is>
      </c>
      <c r="F3" s="2" t="inlineStr">
        <is>
          <t>https://www.icbanq.com/P015973844</t>
        </is>
      </c>
    </row>
    <row r="4">
      <c r="A4" s="2" t="inlineStr">
        <is>
          <t>스텐 렌치볼트 M2.5 × 6 — 50개 봉 (Pi 4 + 화면 4)</t>
        </is>
      </c>
      <c r="B4" s="3" t="n">
        <v>11</v>
      </c>
      <c r="C4" s="3" t="n">
        <v>50</v>
      </c>
      <c r="D4" s="3">
        <f>B4*C4</f>
        <v/>
      </c>
      <c r="E4" s="2" t="inlineStr">
        <is>
          <t>아이씨뱅큐</t>
        </is>
      </c>
      <c r="F4" s="2" t="inlineStr">
        <is>
          <t>https://www.icbanq.com/P015971543</t>
        </is>
      </c>
    </row>
    <row r="5">
      <c r="A5" s="2" t="inlineStr">
        <is>
          <t>1 µF 적층 세라믹 콘덴서 50 V</t>
        </is>
      </c>
      <c r="B5" s="3" t="n">
        <v>133</v>
      </c>
      <c r="C5" s="3" t="n">
        <v>4</v>
      </c>
      <c r="D5" s="3">
        <f>B5*C5</f>
        <v/>
      </c>
      <c r="E5" s="2" t="inlineStr">
        <is>
          <t>아이씨뱅큐</t>
        </is>
      </c>
      <c r="F5" s="2" t="inlineStr">
        <is>
          <t>https://www.icbanq.com/P014159115</t>
        </is>
      </c>
    </row>
    <row r="6">
      <c r="A6" s="2" t="inlineStr">
        <is>
          <t>1 kΩ 1206 칩 저항 (Yageo)</t>
        </is>
      </c>
      <c r="B6" s="3" t="n">
        <v>44</v>
      </c>
      <c r="C6" s="3" t="n">
        <v>10</v>
      </c>
      <c r="D6" s="3">
        <f>B6*C6</f>
        <v/>
      </c>
      <c r="E6" s="2" t="inlineStr">
        <is>
          <t>아이씨뱅큐</t>
        </is>
      </c>
      <c r="F6" s="2" t="inlineStr">
        <is>
          <t>https://www.icbanq.com/P011433924</t>
        </is>
      </c>
    </row>
    <row r="7">
      <c r="A7" s="2" t="inlineStr">
        <is>
          <t>Apple USB-C 헤드폰 어댑터</t>
        </is>
      </c>
      <c r="B7" s="3" t="n">
        <v>14260</v>
      </c>
      <c r="C7" s="3" t="n">
        <v>1</v>
      </c>
      <c r="D7" s="3">
        <f>B7*C7</f>
        <v/>
      </c>
      <c r="E7" s="2" t="inlineStr">
        <is>
          <t>쿠팡</t>
        </is>
      </c>
      <c r="F7" s="2" t="inlineStr">
        <is>
          <t>https://www.coupang.com/vp/products/169628214?vendorItemId=90711442678</t>
        </is>
      </c>
    </row>
    <row r="8">
      <c r="A8" s="2" t="inlineStr">
        <is>
          <t>네오디뮴 자석 Ø8×3 12개 (뚜껑)</t>
        </is>
      </c>
      <c r="B8" s="3" t="n">
        <v>3890</v>
      </c>
      <c r="C8" s="3" t="n">
        <v>1</v>
      </c>
      <c r="D8" s="3">
        <f>B8*C8</f>
        <v/>
      </c>
      <c r="E8" s="2" t="inlineStr">
        <is>
          <t>쿠팡</t>
        </is>
      </c>
      <c r="F8" s="2" t="inlineStr">
        <is>
          <t>https://www.coupang.com/vp/products/7589411879?vendorItemId=87148299583</t>
        </is>
      </c>
    </row>
    <row r="9">
      <c r="A9" s="2" t="inlineStr">
        <is>
          <t>삼미 CW-100B25 4인치 스피커 8 Ω</t>
        </is>
      </c>
      <c r="B9" s="3" t="n">
        <v>8500</v>
      </c>
      <c r="C9" s="3" t="n">
        <v>2</v>
      </c>
      <c r="D9" s="3">
        <f>B9*C9</f>
        <v/>
      </c>
      <c r="E9" s="2" t="inlineStr">
        <is>
          <t>쿠팡</t>
        </is>
      </c>
      <c r="F9" s="2" t="inlineStr">
        <is>
          <t>https://www.coupang.com/vp/products/181380607?vendorItemId=4341984346</t>
        </is>
      </c>
    </row>
    <row r="10">
      <c r="A10" s="2" t="inlineStr">
        <is>
          <t>세메다인 슈퍼X 8008 흑색 20 mL (MS 폴리머)</t>
        </is>
      </c>
      <c r="B10" s="3" t="n">
        <v>8000</v>
      </c>
      <c r="C10" s="3" t="n">
        <v>3</v>
      </c>
      <c r="D10" s="3">
        <f>B10*C10</f>
        <v/>
      </c>
      <c r="E10" s="2" t="inlineStr">
        <is>
          <t>쿠팡</t>
        </is>
      </c>
      <c r="F10" s="2" t="inlineStr">
        <is>
          <t>https://www.coupang.com/vp/products/7839505281?vendorItemId=90922897918</t>
        </is>
      </c>
    </row>
    <row r="11">
      <c r="A11" s="2" t="inlineStr">
        <is>
          <t>화성고무 피스고무발 28×5 (RUB-E2)</t>
        </is>
      </c>
      <c r="B11" s="3" t="n">
        <v>433</v>
      </c>
      <c r="C11" s="3" t="n">
        <v>20</v>
      </c>
      <c r="D11" s="3">
        <f>B11*C11</f>
        <v/>
      </c>
      <c r="E11" s="2" t="inlineStr">
        <is>
          <t>쿠팡</t>
        </is>
      </c>
      <c r="F11" s="2" t="inlineStr">
        <is>
          <t>https://www.coupang.com/vp/products/130058387?vendorItemId=3929147929</t>
        </is>
      </c>
    </row>
    <row r="12">
      <c r="A12" s="2" t="inlineStr">
        <is>
          <t>메리노 울 펠트 1T 20×30 cm (80 블랙)</t>
        </is>
      </c>
      <c r="B12" s="3" t="n">
        <v>6900</v>
      </c>
      <c r="C12" s="3" t="n">
        <v>1</v>
      </c>
      <c r="D12" s="3">
        <f>B12*C12</f>
        <v/>
      </c>
      <c r="E12" s="2" t="inlineStr">
        <is>
          <t>쿠팡</t>
        </is>
      </c>
      <c r="F12" s="2" t="inlineStr">
        <is>
          <t>https://www.coupang.com/vp/products/6627385385?vendorItemId=82316320569</t>
        </is>
      </c>
    </row>
    <row r="13">
      <c r="A13" s="2" t="inlineStr">
        <is>
          <t>SUS304 환봉 Ø4×1 m — 건반 봉</t>
        </is>
      </c>
      <c r="B13" s="3" t="n">
        <v>1500</v>
      </c>
      <c r="C13" s="3" t="n">
        <v>2</v>
      </c>
      <c r="D13" s="3">
        <f>B13*C13</f>
        <v/>
      </c>
      <c r="E13" s="2" t="inlineStr">
        <is>
          <t>쿠팡</t>
        </is>
      </c>
      <c r="F13" s="2" t="inlineStr">
        <is>
          <t>https://www.coupang.com/vp/products/7575965502?vendorItemId=87087416424</t>
        </is>
      </c>
    </row>
    <row r="14">
      <c r="A14" s="2" t="inlineStr">
        <is>
          <t>SUS304 환봉 Ø4×1 m — 레버 봉</t>
        </is>
      </c>
      <c r="B14" s="3" t="n">
        <v>1500</v>
      </c>
      <c r="C14" s="3" t="n">
        <v>2</v>
      </c>
      <c r="D14" s="3">
        <f>B14*C14</f>
        <v/>
      </c>
      <c r="E14" s="2" t="inlineStr">
        <is>
          <t>쿠팡</t>
        </is>
      </c>
      <c r="F14" s="2" t="inlineStr">
        <is>
          <t>https://www.coupang.com/vp/products/7575965502?vendorItemId=87087416424</t>
        </is>
      </c>
    </row>
    <row r="15">
      <c r="A15" s="2" t="inlineStr">
        <is>
          <t>흑연 가루 30 ml (드로잉용 흑연 파우더 소)</t>
        </is>
      </c>
      <c r="B15" s="3" t="n">
        <v>3000</v>
      </c>
      <c r="C15" s="3" t="n">
        <v>1</v>
      </c>
      <c r="D15" s="3">
        <f>B15*C15</f>
        <v/>
      </c>
      <c r="E15" s="2" t="inlineStr">
        <is>
          <t>쿠팡</t>
        </is>
      </c>
      <c r="F15" s="2" t="inlineStr">
        <is>
          <t>https://www.coupang.com/vp/products/8243268767?vendorItemId=90747166966</t>
        </is>
      </c>
    </row>
    <row r="16">
      <c r="A16" s="2" t="inlineStr">
        <is>
          <t>10 µF 1206 칩 콘덴서 16 V (삼성, 낱개)</t>
        </is>
      </c>
      <c r="B16" s="3" t="n">
        <v>253</v>
      </c>
      <c r="C16" s="3" t="n">
        <v>16</v>
      </c>
      <c r="D16" s="3">
        <f>B16*C16</f>
        <v/>
      </c>
      <c r="E16" s="2" t="inlineStr">
        <is>
          <t>엘레파츠</t>
        </is>
      </c>
      <c r="F16" s="2" t="inlineStr">
        <is>
          <t>https://www.eleparts.co.kr/goods/view?no=2675965</t>
        </is>
      </c>
    </row>
    <row r="17">
      <c r="A17" s="2" t="inlineStr">
        <is>
          <t>16심 리본 케이블 2651-16P (센서 선)</t>
        </is>
      </c>
      <c r="B17" s="3" t="n">
        <v>1529</v>
      </c>
      <c r="C17" s="3" t="n">
        <v>2</v>
      </c>
      <c r="D17" s="3">
        <f>B17*C17</f>
        <v/>
      </c>
      <c r="E17" s="2" t="inlineStr">
        <is>
          <t>엘레파츠</t>
        </is>
      </c>
      <c r="F17" s="2" t="inlineStr">
        <is>
          <t>https://www.eleparts.co.kr/goods/view?no=425</t>
        </is>
      </c>
    </row>
    <row r="18">
      <c r="A18" s="2" t="inlineStr">
        <is>
          <t>3.5 mm 스테레오 AUX 선 3 m (페달)</t>
        </is>
      </c>
      <c r="B18" s="3" t="n">
        <v>2550</v>
      </c>
      <c r="C18" s="3" t="n">
        <v>1</v>
      </c>
      <c r="D18" s="3">
        <f>B18*C18</f>
        <v/>
      </c>
      <c r="E18" s="2" t="inlineStr">
        <is>
          <t>엘레파츠</t>
        </is>
      </c>
      <c r="F18" s="2" t="inlineStr">
        <is>
          <t>https://www.eleparts.co.kr/goods/view?no=2925651</t>
        </is>
      </c>
    </row>
    <row r="19">
      <c r="A19" s="2" t="inlineStr">
        <is>
          <t>3.5 mm 스테레오 AUX 선 3 m 1가닥 (반으로 잘라 2가닥)</t>
        </is>
      </c>
      <c r="B19" s="3" t="n">
        <v>2550</v>
      </c>
      <c r="C19" s="3" t="n">
        <v>1</v>
      </c>
      <c r="D19" s="3">
        <f>B19*C19</f>
        <v/>
      </c>
      <c r="E19" s="2" t="inlineStr">
        <is>
          <t>엘레파츠</t>
        </is>
      </c>
      <c r="F19" s="2" t="inlineStr">
        <is>
          <t>https://www.eleparts.co.kr/goods/view?no=2925651</t>
        </is>
      </c>
    </row>
    <row r="20">
      <c r="A20" s="2" t="inlineStr">
        <is>
          <t>16심 리본 케이블 추가 1 m (배선용)</t>
        </is>
      </c>
      <c r="B20" s="3" t="n">
        <v>1529</v>
      </c>
      <c r="C20" s="3" t="n">
        <v>1</v>
      </c>
      <c r="D20" s="3">
        <f>B20*C20</f>
        <v/>
      </c>
      <c r="E20" s="2" t="inlineStr">
        <is>
          <t>엘레파츠</t>
        </is>
      </c>
      <c r="F20" s="2" t="inlineStr">
        <is>
          <t>https://www.eleparts.co.kr/goods/view?no=425</t>
        </is>
      </c>
    </row>
    <row r="21">
      <c r="A21" s="2" t="inlineStr">
        <is>
          <t>벨크로 링벨트 20 mm × 30 cm (배터리 고정)</t>
        </is>
      </c>
      <c r="B21" s="3" t="n">
        <v>863</v>
      </c>
      <c r="C21" s="3" t="n">
        <v>1</v>
      </c>
      <c r="D21" s="3">
        <f>B21*C21</f>
        <v/>
      </c>
      <c r="E21" s="2" t="inlineStr">
        <is>
          <t>엘레파츠</t>
        </is>
      </c>
      <c r="F21" s="2" t="inlineStr">
        <is>
          <t>https://www.eleparts.co.kr/goods/view?no=12816289</t>
        </is>
      </c>
    </row>
    <row r="22">
      <c r="A22" s="2" t="inlineStr">
        <is>
          <t>JST-XH 6핀 케이블 한 쌍 (Adafruit 4876)</t>
        </is>
      </c>
      <c r="B22" s="3" t="n">
        <v>2230</v>
      </c>
      <c r="C22" s="3" t="n">
        <v>2</v>
      </c>
      <c r="D22" s="3">
        <f>B22*C22</f>
        <v/>
      </c>
      <c r="E22" s="2" t="inlineStr">
        <is>
          <t>엘레파츠</t>
        </is>
      </c>
      <c r="F22" s="2" t="inlineStr">
        <is>
          <t>https://www.eleparts.co.kr/goods/view?no=19324904</t>
        </is>
      </c>
    </row>
    <row r="23">
      <c r="A23" s="2" t="inlineStr">
        <is>
          <t>스텐 직결피스 8호 13 mm (고무발)</t>
        </is>
      </c>
      <c r="B23" s="3" t="n">
        <v>66</v>
      </c>
      <c r="C23" s="3" t="n">
        <v>20</v>
      </c>
      <c r="D23" s="3">
        <f>B23*C23</f>
        <v/>
      </c>
      <c r="E23" s="2" t="inlineStr">
        <is>
          <t>디바이스마트</t>
        </is>
      </c>
      <c r="F23" s="2" t="inlineStr">
        <is>
          <t>https://www.devicemart.co.kr/goods/view?no=10912779</t>
        </is>
      </c>
    </row>
    <row r="24">
      <c r="A24" s="2" t="inlineStr">
        <is>
          <t>스텐 렌치볼트 M4 × 12 (스피커 유닛)</t>
        </is>
      </c>
      <c r="B24" s="3" t="n">
        <v>66</v>
      </c>
      <c r="C24" s="3" t="n">
        <v>10</v>
      </c>
      <c r="D24" s="3">
        <f>B24*C24</f>
        <v/>
      </c>
      <c r="E24" s="2" t="inlineStr">
        <is>
          <t>디바이스마트</t>
        </is>
      </c>
      <c r="F24" s="2" t="inlineStr">
        <is>
          <t>https://www.devicemart.co.kr/goods/view?no=10912479</t>
        </is>
      </c>
    </row>
    <row r="25">
      <c r="A25" s="2" t="inlineStr">
        <is>
          <t>스텐 직결피스 8호 19 mm (그릴)</t>
        </is>
      </c>
      <c r="B25" s="3" t="n">
        <v>55</v>
      </c>
      <c r="C25" s="3" t="n">
        <v>10</v>
      </c>
      <c r="D25" s="3">
        <f>B25*C25</f>
        <v/>
      </c>
      <c r="E25" s="2" t="inlineStr">
        <is>
          <t>디바이스마트</t>
        </is>
      </c>
      <c r="F25" s="2" t="inlineStr">
        <is>
          <t>https://www.devicemart.co.kr/goods/view?no=10912781</t>
        </is>
      </c>
    </row>
    <row r="26">
      <c r="A26" s="2" t="inlineStr">
        <is>
          <t>PJ-313 3.5 mm 스테레오 잭</t>
        </is>
      </c>
      <c r="B26" s="3" t="n">
        <v>154</v>
      </c>
      <c r="C26" s="3" t="n">
        <v>3</v>
      </c>
      <c r="D26" s="3">
        <f>B26*C26</f>
        <v/>
      </c>
      <c r="E26" s="2" t="inlineStr">
        <is>
          <t>디바이스마트</t>
        </is>
      </c>
      <c r="F26" s="2" t="inlineStr">
        <is>
          <t>https://www.devicemart.co.kr/goods/view?no=2674</t>
        </is>
      </c>
    </row>
    <row r="27">
      <c r="A27" s="2" t="inlineStr">
        <is>
          <t>스텐 트러스 태핑 피스 M3 × 12 (허브 선반 받침)</t>
        </is>
      </c>
      <c r="B27" s="3" t="n">
        <v>44</v>
      </c>
      <c r="C27" s="3" t="n">
        <v>10</v>
      </c>
      <c r="D27" s="3">
        <f>B27*C27</f>
        <v/>
      </c>
      <c r="E27" s="2" t="inlineStr">
        <is>
          <t>디바이스마트</t>
        </is>
      </c>
      <c r="F27" s="2" t="inlineStr">
        <is>
          <t>https://www.devicemart.co.kr/goods/view?no=10911806</t>
        </is>
      </c>
    </row>
    <row r="28">
      <c r="A28" s="2" t="inlineStr">
        <is>
          <t>접시머리 직결피스 8호 13 mm (뒤판·배터리 받침, 철 백색 아연)</t>
        </is>
      </c>
      <c r="B28" s="3" t="n">
        <v>33</v>
      </c>
      <c r="C28" s="3" t="n">
        <v>10</v>
      </c>
      <c r="D28" s="3">
        <f>B28*C28</f>
        <v/>
      </c>
      <c r="E28" s="2" t="inlineStr">
        <is>
          <t>디바이스마트</t>
        </is>
      </c>
      <c r="F28" s="2" t="inlineStr">
        <is>
          <t>https://www.devicemart.co.kr/goods/view?no=10912759</t>
        </is>
      </c>
    </row>
    <row r="29">
      <c r="A29" s="2" t="inlineStr">
        <is>
          <t>100 nF 1206 칩 콘덴서 (삼성)</t>
        </is>
      </c>
      <c r="B29" s="3" t="n">
        <v>121</v>
      </c>
      <c r="C29" s="3" t="n">
        <v>100</v>
      </c>
      <c r="D29" s="3">
        <f>B29*C29</f>
        <v/>
      </c>
      <c r="E29" s="2" t="inlineStr">
        <is>
          <t>디바이스마트</t>
        </is>
      </c>
      <c r="F29" s="2" t="inlineStr">
        <is>
          <t>https://www.devicemart.co.kr/goods/view?no=14991278</t>
        </is>
      </c>
    </row>
    <row r="30">
      <c r="A30" s="2" t="inlineStr">
        <is>
          <t>M3 방진 댐퍼(그로밋) 20개</t>
        </is>
      </c>
      <c r="B30" s="3" t="n">
        <v>5500</v>
      </c>
      <c r="C30" s="3" t="n">
        <v>1</v>
      </c>
      <c r="D30" s="3">
        <f>B30*C30</f>
        <v/>
      </c>
      <c r="E30" s="2" t="inlineStr">
        <is>
          <t>디바이스마트</t>
        </is>
      </c>
      <c r="F30" s="2" t="inlineStr">
        <is>
          <t>https://www.devicemart.co.kr/goods/view?no=16080883</t>
        </is>
      </c>
    </row>
    <row r="31">
      <c r="A31" s="10" t="inlineStr">
        <is>
          <t>학교 구매 합계 (물건값, 한도 200,000원)</t>
        </is>
      </c>
      <c r="B31" s="10" t="n"/>
      <c r="C31" s="10" t="n"/>
      <c r="D31" s="11">
        <f>SUM(D2:D30)</f>
        <v/>
      </c>
    </row>
    <row r="32"/>
    <row r="33"/>
    <row r="34"/>
    <row r="35"/>
    <row r="36"/>
    <row r="37"/>
    <row r="38"/>
    <row r="39"/>
    <row r="40">
      <c r="B40" s="1" t="n"/>
      <c r="C40" s="1" t="n"/>
      <c r="D40" s="1" t="n"/>
    </row>
    <row r="41">
      <c r="B41" s="1" t="n"/>
      <c r="C41" s="1" t="n"/>
      <c r="D41" s="1" t="n"/>
    </row>
    <row r="42">
      <c r="D42" s="1" t="n"/>
    </row>
    <row r="43">
      <c r="D43" s="1" t="n"/>
    </row>
  </sheetData>
  <autoFilter ref="A1:F30"/>
  <hyperlinks>
    <hyperlink xmlns:r="http://schemas.openxmlformats.org/officeDocument/2006/relationships" ref="F2" tooltip="판매 페이지 열기" r:id="rId1"/>
    <hyperlink xmlns:r="http://schemas.openxmlformats.org/officeDocument/2006/relationships" ref="F3" tooltip="판매 페이지 열기" r:id="rId2"/>
    <hyperlink xmlns:r="http://schemas.openxmlformats.org/officeDocument/2006/relationships" ref="F4" tooltip="판매 페이지 열기" r:id="rId3"/>
    <hyperlink xmlns:r="http://schemas.openxmlformats.org/officeDocument/2006/relationships" ref="F5" tooltip="판매 페이지 열기" r:id="rId4"/>
    <hyperlink xmlns:r="http://schemas.openxmlformats.org/officeDocument/2006/relationships" ref="F6" tooltip="판매 페이지 열기" r:id="rId5"/>
    <hyperlink xmlns:r="http://schemas.openxmlformats.org/officeDocument/2006/relationships" ref="F7" tooltip="판매 페이지 열기" r:id="rId6"/>
    <hyperlink xmlns:r="http://schemas.openxmlformats.org/officeDocument/2006/relationships" ref="F8" tooltip="판매 페이지 열기" r:id="rId7"/>
    <hyperlink xmlns:r="http://schemas.openxmlformats.org/officeDocument/2006/relationships" ref="F9" tooltip="판매 페이지 열기" r:id="rId8"/>
    <hyperlink xmlns:r="http://schemas.openxmlformats.org/officeDocument/2006/relationships" ref="F10" tooltip="판매 페이지 열기" r:id="rId9"/>
    <hyperlink xmlns:r="http://schemas.openxmlformats.org/officeDocument/2006/relationships" ref="F11" tooltip="판매 페이지 열기" r:id="rId10"/>
    <hyperlink xmlns:r="http://schemas.openxmlformats.org/officeDocument/2006/relationships" ref="F12" tooltip="판매 페이지 열기" r:id="rId11"/>
    <hyperlink xmlns:r="http://schemas.openxmlformats.org/officeDocument/2006/relationships" ref="F13" tooltip="판매 페이지 열기" r:id="rId12"/>
    <hyperlink xmlns:r="http://schemas.openxmlformats.org/officeDocument/2006/relationships" ref="F14" tooltip="판매 페이지 열기" r:id="rId13"/>
    <hyperlink xmlns:r="http://schemas.openxmlformats.org/officeDocument/2006/relationships" ref="F15" tooltip="판매 페이지 열기" r:id="rId14"/>
    <hyperlink xmlns:r="http://schemas.openxmlformats.org/officeDocument/2006/relationships" ref="F16" tooltip="판매 페이지 열기" r:id="rId15"/>
    <hyperlink xmlns:r="http://schemas.openxmlformats.org/officeDocument/2006/relationships" ref="F17" tooltip="판매 페이지 열기" r:id="rId16"/>
    <hyperlink xmlns:r="http://schemas.openxmlformats.org/officeDocument/2006/relationships" ref="F18" tooltip="판매 페이지 열기" r:id="rId17"/>
    <hyperlink xmlns:r="http://schemas.openxmlformats.org/officeDocument/2006/relationships" ref="F19" tooltip="판매 페이지 열기" r:id="rId18"/>
    <hyperlink xmlns:r="http://schemas.openxmlformats.org/officeDocument/2006/relationships" ref="F20" tooltip="판매 페이지 열기" r:id="rId19"/>
    <hyperlink xmlns:r="http://schemas.openxmlformats.org/officeDocument/2006/relationships" ref="F21" tooltip="판매 페이지 열기" r:id="rId20"/>
    <hyperlink xmlns:r="http://schemas.openxmlformats.org/officeDocument/2006/relationships" ref="F22" tooltip="판매 페이지 열기" r:id="rId21"/>
    <hyperlink xmlns:r="http://schemas.openxmlformats.org/officeDocument/2006/relationships" ref="F23" tooltip="판매 페이지 열기" r:id="rId22"/>
    <hyperlink xmlns:r="http://schemas.openxmlformats.org/officeDocument/2006/relationships" ref="F24" tooltip="판매 페이지 열기" r:id="rId23"/>
    <hyperlink xmlns:r="http://schemas.openxmlformats.org/officeDocument/2006/relationships" ref="F25" tooltip="판매 페이지 열기" r:id="rId24"/>
    <hyperlink xmlns:r="http://schemas.openxmlformats.org/officeDocument/2006/relationships" ref="F26" tooltip="판매 페이지 열기" r:id="rId25"/>
    <hyperlink xmlns:r="http://schemas.openxmlformats.org/officeDocument/2006/relationships" ref="F27" tooltip="판매 페이지 열기" r:id="rId26"/>
    <hyperlink xmlns:r="http://schemas.openxmlformats.org/officeDocument/2006/relationships" ref="F28" tooltip="판매 페이지 열기" r:id="rId27"/>
  </hyperlinks>
  <pageMargins left="0.7" right="0.7" top="0.75" bottom="0.75" header="0.3" footer="0.3"/>
  <pageSetup orientation="portrait" paperSize="9" horizontalDpi="0" verticalDpi="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0"/>
  <sheetViews>
    <sheetView tabSelected="1" workbookViewId="0">
      <selection activeCell="G8" sqref="G8"/>
    </sheetView>
  </sheetViews>
  <sheetFormatPr baseColWidth="10" defaultRowHeight="16"/>
  <cols>
    <col width="46.83203125" customWidth="1" min="1" max="1"/>
    <col width="10.83203125" customWidth="1" min="2" max="2"/>
    <col width="6.83203125" customWidth="1" min="3" max="3"/>
    <col width="12.83203125" customWidth="1" min="4" max="4"/>
    <col width="30.83203125" customWidth="1" min="5" max="5"/>
    <col width="70.83203125" customWidth="1" min="6" max="6"/>
    <col width="25" customWidth="1" min="7" max="7"/>
  </cols>
  <sheetData>
    <row r="1">
      <c r="A1" t="inlineStr">
        <is>
          <t>품목명</t>
        </is>
      </c>
      <c r="B1" t="inlineStr">
        <is>
          <t>단가</t>
        </is>
      </c>
      <c r="C1" t="inlineStr">
        <is>
          <t>수량</t>
        </is>
      </c>
      <c r="D1" t="inlineStr">
        <is>
          <t>총금액</t>
        </is>
      </c>
      <c r="E1" t="inlineStr">
        <is>
          <t>구매 사이트</t>
        </is>
      </c>
      <c r="F1" t="inlineStr">
        <is>
          <t>제품 링크(URL)</t>
        </is>
      </c>
      <c r="G1" t="inlineStr">
        <is>
          <t>주문번호</t>
        </is>
      </c>
    </row>
    <row r="2" ht="18" customHeight="1">
      <c r="A2" t="inlineStr">
        <is>
          <t>강철 띠 9T×19×1 m (강철 블록용)</t>
        </is>
      </c>
      <c r="B2" s="1" t="n">
        <v>8610</v>
      </c>
      <c r="C2" s="1" t="n">
        <v>4</v>
      </c>
      <c r="D2" s="1">
        <f>B2*C2</f>
        <v/>
      </c>
      <c r="E2" t="inlineStr">
        <is>
          <t>올스틸샵</t>
        </is>
      </c>
      <c r="F2" t="inlineStr">
        <is>
          <t>https://www.allsteelshop.com/product/squareplate/9t</t>
        </is>
      </c>
      <c r="G2" s="12" t="inlineStr">
        <is>
          <t>AS-20261008-003</t>
        </is>
      </c>
    </row>
    <row r="3">
      <c r="A3" t="inlineStr">
        <is>
          <t>배송비 — 올스틸샵</t>
        </is>
      </c>
      <c r="B3" s="1" t="n">
        <v>3500</v>
      </c>
      <c r="C3" s="1" t="n">
        <v>1</v>
      </c>
      <c r="D3" s="1">
        <f>B3*C3</f>
        <v/>
      </c>
      <c r="E3" t="inlineStr">
        <is>
          <t>올스틸샵</t>
        </is>
      </c>
    </row>
    <row r="4">
      <c r="A4" t="inlineStr">
        <is>
          <t>미스미 토션스프링 C-UA90R5-3-0.5</t>
        </is>
      </c>
      <c r="B4" s="1" t="n">
        <v>310</v>
      </c>
      <c r="C4" s="1" t="n">
        <v>100</v>
      </c>
      <c r="D4" s="1">
        <f>B4*C4</f>
        <v/>
      </c>
      <c r="E4" t="inlineStr">
        <is>
          <t>한국미스미</t>
        </is>
      </c>
      <c r="F4" t="inlineStr">
        <is>
          <t>https://kr.misumi-ec.com/vona2/detail/110310556289/?HissuCode=C-UA90R5-3-0.5</t>
        </is>
      </c>
      <c r="G4" t="inlineStr">
        <is>
          <t>EB11782B56</t>
        </is>
      </c>
    </row>
    <row r="5">
      <c r="A5" t="inlineStr">
        <is>
          <t>RP2040-Zero 보드 (PP-A799-2)</t>
        </is>
      </c>
      <c r="B5" s="1" t="n">
        <v>3300</v>
      </c>
      <c r="C5" s="1" t="n">
        <v>8</v>
      </c>
      <c r="D5" s="1">
        <f>B5*C5</f>
        <v/>
      </c>
      <c r="E5" t="inlineStr">
        <is>
          <t>파츠파츠</t>
        </is>
      </c>
      <c r="F5" t="inlineStr">
        <is>
          <t>https://parts-parts.co.kr/product/detail.html?product_no=2383</t>
        </is>
      </c>
      <c r="G5" t="inlineStr">
        <is>
          <t>20261008-0000596</t>
        </is>
      </c>
    </row>
    <row r="6">
      <c r="A6" t="inlineStr">
        <is>
          <t>16채널 먹스 모듈 CD74HC4067</t>
        </is>
      </c>
      <c r="B6" s="1" t="n">
        <v>500</v>
      </c>
      <c r="C6" s="1" t="n">
        <v>7</v>
      </c>
      <c r="D6" s="1">
        <f>B6*C6</f>
        <v/>
      </c>
      <c r="E6" t="inlineStr">
        <is>
          <t>파츠파츠</t>
        </is>
      </c>
      <c r="F6" t="inlineStr">
        <is>
          <t>https://parts-parts.co.kr/product/detail.html?product_no=303</t>
        </is>
      </c>
      <c r="G6" t="inlineStr">
        <is>
          <t>20261008-0000596</t>
        </is>
      </c>
    </row>
    <row r="7">
      <c r="A7" t="inlineStr">
        <is>
          <t>배송비 — 파츠파츠</t>
        </is>
      </c>
      <c r="B7" s="1" t="n">
        <v>3000</v>
      </c>
      <c r="C7" s="1" t="n">
        <v>1</v>
      </c>
      <c r="D7" s="1">
        <f>B7*C7</f>
        <v/>
      </c>
      <c r="E7" t="inlineStr">
        <is>
          <t>파츠파츠</t>
        </is>
      </c>
    </row>
    <row r="8" ht="20" customHeight="1">
      <c r="A8" t="inlineStr">
        <is>
          <t>WAKI 하네나이트 1T 170×245 (HNT002)</t>
        </is>
      </c>
      <c r="B8" s="1" t="n">
        <v>16489</v>
      </c>
      <c r="C8" s="1" t="n">
        <v>1</v>
      </c>
      <c r="D8" s="1">
        <f>B8*C8</f>
        <v/>
      </c>
      <c r="E8" t="inlineStr">
        <is>
          <t>나비엠알오</t>
        </is>
      </c>
      <c r="F8" t="inlineStr">
        <is>
          <t>https://www.navimro.com/g/1029233/</t>
        </is>
      </c>
      <c r="G8" s="14" t="inlineStr">
        <is>
          <t>*0010239131</t>
        </is>
      </c>
    </row>
    <row r="9">
      <c r="A9" t="inlineStr">
        <is>
          <t>WAKI PORON 5T 점착 100×100 (PON-02)</t>
        </is>
      </c>
      <c r="B9" s="1" t="n">
        <v>3399</v>
      </c>
      <c r="C9" s="1" t="n">
        <v>1</v>
      </c>
      <c r="D9" s="1">
        <f>B9*C9</f>
        <v/>
      </c>
      <c r="E9" t="inlineStr">
        <is>
          <t>나비엠알오</t>
        </is>
      </c>
      <c r="F9" t="inlineStr">
        <is>
          <t>https://www.navimro.com/g/1028764/</t>
        </is>
      </c>
      <c r="G9" t="inlineStr">
        <is>
          <t>*0010239131</t>
        </is>
      </c>
    </row>
    <row r="10">
      <c r="A10" t="inlineStr">
        <is>
          <t>OHP 필름 A4 0.1 mm 20매 (PET 심용)</t>
        </is>
      </c>
      <c r="B10" s="1" t="n">
        <v>2739</v>
      </c>
      <c r="C10" s="1" t="n">
        <v>1</v>
      </c>
      <c r="D10" s="1">
        <f>B10*C10</f>
        <v/>
      </c>
      <c r="E10" t="inlineStr">
        <is>
          <t>나비엠알오</t>
        </is>
      </c>
      <c r="F10" t="inlineStr">
        <is>
          <t>https://www.navimro.com/g/37021/</t>
        </is>
      </c>
      <c r="G10" t="inlineStr">
        <is>
          <t>*0010239131</t>
        </is>
      </c>
    </row>
    <row r="11">
      <c r="A11" t="inlineStr">
        <is>
          <t>배송비 — 나비엠알오</t>
        </is>
      </c>
      <c r="B11" s="1" t="n">
        <v>3300</v>
      </c>
      <c r="C11" s="1" t="n">
        <v>1</v>
      </c>
      <c r="D11" s="1">
        <f>B11*C11</f>
        <v/>
      </c>
      <c r="E11" t="inlineStr">
        <is>
          <t>나비엠알오</t>
        </is>
      </c>
      <c r="F11" t="inlineStr">
        <is>
          <t>https://www.navimro.com/g/37021/</t>
        </is>
      </c>
    </row>
    <row r="12">
      <c r="A12" t="inlineStr">
        <is>
          <t>밸런스 핀 Ø2×12 SUS304 (100개)</t>
        </is>
      </c>
      <c r="B12" s="1" t="n">
        <v>16600</v>
      </c>
      <c r="C12" s="1" t="n">
        <v>1</v>
      </c>
      <c r="D12" s="1">
        <f>B12*C12</f>
        <v/>
      </c>
      <c r="E12" t="inlineStr">
        <is>
          <t>나사코리아</t>
        </is>
      </c>
      <c r="F12" t="inlineStr">
        <is>
          <t>https://www.nasakorea.com/goods/goods_view.php?goodsNo=6009</t>
        </is>
      </c>
      <c r="G12" t="inlineStr">
        <is>
          <t>*2610082254410867</t>
        </is>
      </c>
    </row>
    <row r="13">
      <c r="A13" t="inlineStr">
        <is>
          <t>손잡이볼트 M4 × 20 5개 (스피커 ↔ 가운데 결합)</t>
        </is>
      </c>
      <c r="B13" s="1" t="n">
        <v>6700</v>
      </c>
      <c r="C13" s="1" t="n">
        <v>1</v>
      </c>
      <c r="D13" s="1">
        <f>B13*C13</f>
        <v/>
      </c>
      <c r="E13" t="inlineStr">
        <is>
          <t>나사코리아</t>
        </is>
      </c>
      <c r="F13" t="inlineStr">
        <is>
          <t>https://nasakorea.com/goods/goods_view.php?goodsNo=6090</t>
        </is>
      </c>
      <c r="G13" t="inlineStr">
        <is>
          <t>*2610082254410867</t>
        </is>
      </c>
    </row>
    <row r="14">
      <c r="A14" t="inlineStr">
        <is>
          <t>배송비 — 나사코리아</t>
        </is>
      </c>
      <c r="B14" s="1" t="n">
        <v>3300</v>
      </c>
      <c r="C14" s="1" t="n">
        <v>1</v>
      </c>
      <c r="D14" s="1">
        <f>B14*C14</f>
        <v/>
      </c>
      <c r="E14" t="inlineStr">
        <is>
          <t>나사코리아</t>
        </is>
      </c>
      <c r="F14" t="inlineStr">
        <is>
          <t>https://nasakorea.com/goods/goods_view.php?goodsNo=6090</t>
        </is>
      </c>
    </row>
    <row r="15">
      <c r="A15" t="inlineStr">
        <is>
          <t>메리노 울 펠트 2T 20×30 cm (35 블랙)</t>
        </is>
      </c>
      <c r="B15" s="1" t="n">
        <v>13800</v>
      </c>
      <c r="C15" s="1" t="n">
        <v>1</v>
      </c>
      <c r="D15" s="1">
        <f>B15*C15</f>
        <v/>
      </c>
      <c r="E15" t="inlineStr">
        <is>
          <t>스튜디오분트</t>
        </is>
      </c>
      <c r="F15" t="inlineStr">
        <is>
          <t>https://studiobunt.com/product/detail.html?product_no=4117</t>
        </is>
      </c>
      <c r="G15" s="15" t="inlineStr">
        <is>
          <t>20261009-0000052</t>
        </is>
      </c>
    </row>
    <row r="16">
      <c r="A16" t="inlineStr">
        <is>
          <t>배송비 — 스튜디오분트</t>
        </is>
      </c>
      <c r="B16" s="1" t="n">
        <v>3000</v>
      </c>
      <c r="C16" s="1" t="n">
        <v>1</v>
      </c>
      <c r="D16" s="1">
        <f>B16*C16</f>
        <v/>
      </c>
      <c r="E16" t="inlineStr">
        <is>
          <t>스튜디오분트</t>
        </is>
      </c>
    </row>
    <row r="17" ht="23" customHeight="1">
      <c r="A17" t="inlineStr">
        <is>
          <t>텅스텐 퍼티 22 g (낚시 싱커)</t>
        </is>
      </c>
      <c r="B17" s="1" t="n">
        <v>8750</v>
      </c>
      <c r="C17" s="1" t="n">
        <v>1</v>
      </c>
      <c r="D17" s="1">
        <f>B17*C17</f>
        <v/>
      </c>
      <c r="E17" t="inlineStr">
        <is>
          <t>11번가</t>
        </is>
      </c>
      <c r="F17" t="inlineStr">
        <is>
          <t>https://www.11st.co.kr/products/9579455646</t>
        </is>
      </c>
      <c r="G17" t="inlineStr">
        <is>
          <t>구매</t>
        </is>
      </c>
    </row>
    <row r="18">
      <c r="A18" t="inlineStr">
        <is>
          <t>EVA 고밀도 폼 3T 330×490 검정</t>
        </is>
      </c>
      <c r="B18" s="1" t="n">
        <v>2100</v>
      </c>
      <c r="C18" s="1" t="n">
        <v>3</v>
      </c>
      <c r="D18" s="1">
        <f>B18*C18</f>
        <v/>
      </c>
      <c r="E18" t="inlineStr">
        <is>
          <t>상우아트 (11번가)</t>
        </is>
      </c>
      <c r="F18" t="inlineStr">
        <is>
          <t>https://www.11st.co.kr/products/7591566666</t>
        </is>
      </c>
      <c r="G18" t="inlineStr">
        <is>
          <t>구매</t>
        </is>
      </c>
    </row>
    <row r="19">
      <c r="A19" t="inlineStr">
        <is>
          <t>대원 0.5T 접착 펠트지 30×45 (H-20 검정)</t>
        </is>
      </c>
      <c r="B19" s="1" t="n">
        <v>1500</v>
      </c>
      <c r="C19" s="1" t="n">
        <v>1</v>
      </c>
      <c r="D19" s="1">
        <f>B19*C19</f>
        <v/>
      </c>
      <c r="E19" t="inlineStr">
        <is>
          <t>상우아트 (11번가)</t>
        </is>
      </c>
      <c r="F19" t="inlineStr">
        <is>
          <t>https://www.11st.co.kr/products/8517880969</t>
        </is>
      </c>
      <c r="G19" t="inlineStr">
        <is>
          <t>구매</t>
        </is>
      </c>
    </row>
    <row r="20">
      <c r="A20" t="inlineStr">
        <is>
          <t>배송비 — 상우아트 (11번가)</t>
        </is>
      </c>
      <c r="B20" s="1" t="n">
        <v>3000</v>
      </c>
      <c r="C20" s="1" t="n">
        <v>1</v>
      </c>
      <c r="D20" s="1">
        <f>B20*C20</f>
        <v/>
      </c>
      <c r="E20" t="inlineStr">
        <is>
          <t>상우아트 (11번가)</t>
        </is>
      </c>
      <c r="F20" t="inlineStr">
        <is>
          <t>https://www.11st.co.kr/products/7591566666</t>
        </is>
      </c>
    </row>
    <row r="21">
      <c r="A21" t="inlineStr">
        <is>
          <t>네오디뮴 자석 Ø5×2 N35</t>
        </is>
      </c>
      <c r="B21" s="1" t="n">
        <v>80</v>
      </c>
      <c r="C21" s="1" t="n">
        <v>89</v>
      </c>
      <c r="D21" s="1">
        <f>B21*C21</f>
        <v/>
      </c>
      <c r="E21" t="inlineStr">
        <is>
          <t>대건상사</t>
        </is>
      </c>
      <c r="F21" t="inlineStr">
        <is>
          <t>https://dgmagnet.com/product/%EC%B4%88%EA%B0%95%EB%A0%A5-%EB%84%A4%EC%98%A4%EB%94%94%EC%9B%80-%EC%9B%90%ED%98%95%EC%9E%90%EC%84%9D-5mm/13/</t>
        </is>
      </c>
      <c r="G21" s="13" t="inlineStr">
        <is>
          <t>20261008-0000019</t>
        </is>
      </c>
    </row>
    <row r="22">
      <c r="A22" t="inlineStr">
        <is>
          <t>배송비 — 대건상사</t>
        </is>
      </c>
      <c r="B22" s="1" t="n">
        <v>2500</v>
      </c>
      <c r="C22" s="1" t="n">
        <v>1</v>
      </c>
      <c r="D22" s="1">
        <f>B22*C22</f>
        <v/>
      </c>
      <c r="E22" t="inlineStr">
        <is>
          <t>대건상사</t>
        </is>
      </c>
    </row>
    <row r="23" ht="23" customHeight="1">
      <c r="A23" t="inlineStr">
        <is>
          <t>방울솜(폴리에스터) 1 kg — 흡음솜</t>
        </is>
      </c>
      <c r="B23" s="1" t="n">
        <v>5200</v>
      </c>
      <c r="C23" s="1" t="n">
        <v>1</v>
      </c>
      <c r="D23" s="1">
        <f>B23*C23</f>
        <v/>
      </c>
      <c r="E23" t="inlineStr">
        <is>
          <t>쿠팡 로켓배송</t>
        </is>
      </c>
      <c r="F23" t="inlineStr">
        <is>
          <t>https://www.coupang.com/vp/products/8826157891?vendorItemId=92708146513</t>
        </is>
      </c>
    </row>
    <row r="24">
      <c r="A24" t="inlineStr">
        <is>
          <t>USB-A → C 데이터 케이블 1 m (Coms NA993, 모듈 O1·O2)</t>
        </is>
      </c>
      <c r="B24" s="1" t="n">
        <v>1620</v>
      </c>
      <c r="C24" s="1" t="n">
        <v>2</v>
      </c>
      <c r="D24" s="1">
        <f>B24*C24</f>
        <v/>
      </c>
      <c r="E24" t="inlineStr">
        <is>
          <t>엘레파츠</t>
        </is>
      </c>
      <c r="F24" t="inlineStr">
        <is>
          <t>https://www.eleparts.co.kr/goods/view?no=4313490</t>
        </is>
      </c>
      <c r="G24" s="13" t="n"/>
    </row>
    <row r="25">
      <c r="A25" t="inlineStr">
        <is>
          <t>USB-A → C 데이터 케이블 50 cm (Coms HB466, 모듈 O3~O7·페달 보드)</t>
        </is>
      </c>
      <c r="B25" s="1" t="n">
        <v>1870</v>
      </c>
      <c r="C25" s="1" t="n">
        <v>6</v>
      </c>
      <c r="D25" s="1">
        <f>B25*C25</f>
        <v/>
      </c>
      <c r="E25" t="inlineStr">
        <is>
          <t>엘레파츠</t>
        </is>
      </c>
      <c r="F25" t="inlineStr">
        <is>
          <t>https://www.eleparts.co.kr/goods/view?no=12185313</t>
        </is>
      </c>
      <c r="G25" s="13" t="n"/>
    </row>
    <row r="26">
      <c r="A26" t="inlineStr">
        <is>
          <t>배송비 — 엘레파츠 (사비 주문)</t>
        </is>
      </c>
      <c r="B26" s="1" t="n">
        <v>3000</v>
      </c>
      <c r="C26" s="1" t="n">
        <v>1</v>
      </c>
      <c r="D26" s="1">
        <f>B26*C26</f>
        <v/>
      </c>
      <c r="E26" t="inlineStr">
        <is>
          <t>엘레파츠</t>
        </is>
      </c>
    </row>
    <row r="27">
      <c r="A27" t="inlineStr">
        <is>
          <t>Waveshare 7-DSI-TOUCH-C 7인치 터치스크린</t>
        </is>
      </c>
      <c r="B27" s="1" t="n">
        <v>52034</v>
      </c>
      <c r="C27" s="1" t="n">
        <v>1</v>
      </c>
      <c r="D27" s="1">
        <f>B27*C27</f>
        <v/>
      </c>
      <c r="E27" t="inlineStr">
        <is>
          <t>AliExpress</t>
        </is>
      </c>
      <c r="F27" t="inlineStr">
        <is>
          <t>https://ko.aliexpress.com/item/1005012020918299.html</t>
        </is>
      </c>
      <c r="G27" s="13" t="inlineStr">
        <is>
          <t>구매</t>
        </is>
      </c>
    </row>
    <row r="28">
      <c r="A28" t="inlineStr">
        <is>
          <t>Bambu PETG Basic 검정 1 kg 스풀 (판 출력 추가분)</t>
        </is>
      </c>
      <c r="B28" s="1" t="n">
        <v>16150</v>
      </c>
      <c r="C28" s="1" t="n">
        <v>4</v>
      </c>
      <c r="D28" s="1">
        <f>B28*C28</f>
        <v/>
      </c>
      <c r="E28" t="inlineStr">
        <is>
          <t>Bambu Lab KR 공식 스토어</t>
        </is>
      </c>
      <c r="F28" t="inlineStr">
        <is>
          <t>https://kr.store.bambulab.com/products/petg-basic</t>
        </is>
      </c>
      <c r="G28" s="13" t="n"/>
    </row>
    <row r="29">
      <c r="A29" t="inlineStr">
        <is>
          <t>배송비 — Bambu Lab KR 공식 스토어</t>
        </is>
      </c>
      <c r="B29" s="1" t="n">
        <v>3000</v>
      </c>
      <c r="C29" s="1" t="n">
        <v>1</v>
      </c>
      <c r="D29" s="1">
        <f>B29*C29</f>
        <v/>
      </c>
      <c r="E29" t="inlineStr">
        <is>
          <t>Bambu Lab KR 공식 스토어</t>
        </is>
      </c>
      <c r="F29" t="inlineStr"/>
      <c r="G29" s="13" t="n"/>
    </row>
    <row r="30">
      <c r="A30" t="inlineStr">
        <is>
          <t>사비 구매 합계 (배송비 포함)</t>
        </is>
      </c>
      <c r="D30" s="1">
        <f>SUM(D2:D29)</f>
        <v/>
      </c>
    </row>
  </sheetData>
  <autoFilter ref="A1:F25"/>
  <hyperlinks>
    <hyperlink xmlns:r="http://schemas.openxmlformats.org/officeDocument/2006/relationships" ref="F2" tooltip="판매 페이지 열기" r:id="rId1"/>
    <hyperlink xmlns:r="http://schemas.openxmlformats.org/officeDocument/2006/relationships" ref="F4" tooltip="판매 페이지 열기" r:id="rId2"/>
    <hyperlink xmlns:r="http://schemas.openxmlformats.org/officeDocument/2006/relationships" ref="F5" tooltip="판매 페이지 열기" r:id="rId3"/>
    <hyperlink xmlns:r="http://schemas.openxmlformats.org/officeDocument/2006/relationships" ref="F6" tooltip="판매 페이지 열기" r:id="rId4"/>
    <hyperlink xmlns:r="http://schemas.openxmlformats.org/officeDocument/2006/relationships" ref="F8" tooltip="판매 페이지 열기" r:id="rId5"/>
    <hyperlink xmlns:r="http://schemas.openxmlformats.org/officeDocument/2006/relationships" ref="F10" tooltip="판매 페이지 열기" r:id="rId6"/>
    <hyperlink xmlns:r="http://schemas.openxmlformats.org/officeDocument/2006/relationships" ref="F11" tooltip="판매 페이지 열기" r:id="rId7"/>
    <hyperlink xmlns:r="http://schemas.openxmlformats.org/officeDocument/2006/relationships" ref="F13" tooltip="판매 페이지 열기" r:id="rId8"/>
    <hyperlink xmlns:r="http://schemas.openxmlformats.org/officeDocument/2006/relationships" ref="F14" tooltip="판매 페이지 열기" r:id="rId9"/>
    <hyperlink xmlns:r="http://schemas.openxmlformats.org/officeDocument/2006/relationships" ref="F17" tooltip="판매 페이지 열기" r:id="rId10"/>
    <hyperlink xmlns:r="http://schemas.openxmlformats.org/officeDocument/2006/relationships" ref="F19" tooltip="판매 페이지 열기" r:id="rId11"/>
    <hyperlink xmlns:r="http://schemas.openxmlformats.org/officeDocument/2006/relationships" ref="F20" tooltip="판매 페이지 열기" r:id="rId12"/>
    <hyperlink xmlns:r="http://schemas.openxmlformats.org/officeDocument/2006/relationships" ref="F21" tooltip="판매 페이지 열기" r:id="rId13"/>
    <hyperlink xmlns:r="http://schemas.openxmlformats.org/officeDocument/2006/relationships" ref="F23" tooltip="판매 페이지 열기" r:id="rId14"/>
    <hyperlink xmlns:r="http://schemas.openxmlformats.org/officeDocument/2006/relationships" ref="F25" tooltip="판매 페이지 열기" r:id="rId15"/>
  </hyperlinks>
  <pageMargins left="0.7" right="0.7" top="0.75" bottom="0.75" header="0.3" footer="0.3"/>
  <pageSetup orientation="portrait" paperSize="9" horizontalDpi="0" verticalDpi="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10" defaultRowHeight="16"/>
  <cols>
    <col width="14.83203125" customWidth="1" min="1" max="2"/>
    <col width="60.83203125" customWidth="1" min="3" max="3"/>
  </cols>
  <sheetData>
    <row r="1">
      <c r="A1" t="inlineStr">
        <is>
          <t>구분</t>
        </is>
      </c>
      <c r="B1" t="inlineStr">
        <is>
          <t>금액</t>
        </is>
      </c>
      <c r="C1" t="inlineStr">
        <is>
          <t>비고</t>
        </is>
      </c>
    </row>
    <row r="2">
      <c r="A2" t="inlineStr">
        <is>
          <t>학교 구매 (물건값)</t>
        </is>
      </c>
      <c r="B2" s="1">
        <f>'학교 구매'!D31</f>
        <v/>
      </c>
      <c r="C2" t="inlineStr">
        <is>
          <t>한도 200,000원 · 물건값만 (배송비는 학교가 따로, 한도 밖) · 판매처 11곳</t>
        </is>
      </c>
    </row>
    <row r="3">
      <c r="A3" t="inlineStr">
        <is>
          <t>학교 주문 배송비</t>
        </is>
      </c>
      <c r="B3" s="1" t="n">
        <v>28700</v>
      </c>
      <c r="C3" t="inlineStr">
        <is>
          <t>학교가 냄 (20만 원 한도에 넣지 않음)</t>
        </is>
      </c>
    </row>
    <row r="4">
      <c r="A4" t="inlineStr">
        <is>
          <t>사비 구매</t>
        </is>
      </c>
      <c r="B4" s="1">
        <f>'사비 구매'!D30</f>
        <v/>
      </c>
      <c r="C4" t="inlineStr">
        <is>
          <t>물건값 + 배송비 · 판매처 13곳</t>
        </is>
      </c>
    </row>
    <row r="5">
      <c r="A5" t="inlineStr">
        <is>
          <t>합계</t>
        </is>
      </c>
      <c r="B5" s="1">
        <f>B2+B3+B4</f>
        <v/>
      </c>
      <c r="C5" t="inlineStr">
        <is>
          <t>VAT 포함 · 배송비 포함</t>
        </is>
      </c>
    </row>
    <row r="7">
      <c r="A7" t="inlineStr">
        <is>
          <t>2026-10-08 · Toccata 최종 재료 페이지 https://claude.ai/artifact/9CJ3HwhbhoodCAui94g28n 에서 고른 그대로 · 가격은 주문 전에 다시 확인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title xmlns:dc="http://purl.org/dc/elements/1.1/">Toccata 학교·사비 구매 목록</dc:title>
  <dcterms:created xmlns:dcterms="http://purl.org/dc/terms/" xmlns:xsi="http://www.w3.org/2001/XMLSchema-instance" xsi:type="dcterms:W3CDTF">2026-10-07T16:11:04Z</dcterms:created>
  <dcterms:modified xmlns:dcterms="http://purl.org/dc/terms/" xmlns:xsi="http://www.w3.org/2001/XMLSchema-instance" xsi:type="dcterms:W3CDTF">2026-10-16T11:14:31Z</dcterms:modified>
  <cp:lastModifiedBy>고원규</cp:lastModifiedBy>
</cp:coreProperties>
</file>