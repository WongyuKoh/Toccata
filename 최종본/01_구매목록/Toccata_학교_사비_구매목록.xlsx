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교 구매" sheetId="1" state="visible" r:id="rId3"/>
    <sheet name="사비 구매" sheetId="2" state="visible" r:id="rId4"/>
    <sheet name="요약" sheetId="3" state="visible" r:id="rId5"/>
  </sheets>
  <definedNames>
    <definedName function="false" hidden="true" localSheetId="1" name="_xlnm._FilterDatabase" vbProcedure="false">'사비 구매'!$A$1:$F$25</definedName>
    <definedName function="false" hidden="true" localSheetId="0" name="_xlnm._FilterDatabase" vbProcedure="false">'학교 구매'!$A$1:$F$30</definedName>
    <definedName function="false" hidden="false" localSheetId="0" name="_xlnm._FilterDatabase" vbProcedure="false">'학교 구매'!A1:F30</definedName>
    <definedName function="false" hidden="false" localSheetId="1" name="_xlnm._FilterDatabase" vbProcedure="false">'사비 구매'!A1:F25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<sst xmlns="http://schemas.openxmlformats.org/spreadsheetml/2006/main" count="198" uniqueCount="148">
  <si>
    <t xml:space="preserve">품목명</t>
  </si>
  <si>
    <t xml:space="preserve">단가</t>
  </si>
  <si>
    <t xml:space="preserve">수량</t>
  </si>
  <si>
    <t xml:space="preserve">총금액</t>
  </si>
  <si>
    <t xml:space="preserve">구매 사이트</t>
  </si>
  <si>
    <r>
      <rPr>
        <sz val="12"/>
        <color theme="1"/>
        <rFont val="PingFang SC"/>
        <family val="2"/>
      </rPr>
      <t xml:space="preserve">제품 링크</t>
    </r>
    <r>
      <rPr>
        <sz val="12"/>
        <color theme="1"/>
        <rFont val="Calibri"/>
        <family val="2"/>
        <charset val="1"/>
      </rPr>
      <t xml:space="preserve">(URL)</t>
    </r>
  </si>
  <si>
    <r>
      <rPr>
        <sz val="12"/>
        <color theme="1"/>
        <rFont val="PingFang SC"/>
        <family val="2"/>
      </rPr>
      <t xml:space="preserve">홀센서 </t>
    </r>
    <r>
      <rPr>
        <sz val="12"/>
        <color theme="1"/>
        <rFont val="Calibri"/>
        <family val="2"/>
        <charset val="1"/>
      </rPr>
      <t xml:space="preserve">TI DRV5055A2QLPG</t>
    </r>
  </si>
  <si>
    <t xml:space="preserve">아이씨뱅큐</t>
  </si>
  <si>
    <t xml:space="preserve">https://www.icbanq.com/P018076669</t>
  </si>
  <si>
    <r>
      <rPr>
        <sz val="12"/>
        <color theme="1"/>
        <rFont val="Calibri"/>
        <family val="2"/>
        <charset val="1"/>
      </rPr>
      <t xml:space="preserve">JST-XH 6</t>
    </r>
    <r>
      <rPr>
        <sz val="12"/>
        <color theme="1"/>
        <rFont val="PingFang SC"/>
        <family val="2"/>
      </rPr>
      <t xml:space="preserve">핀 케이블 한 쌍 </t>
    </r>
    <r>
      <rPr>
        <sz val="12"/>
        <color theme="1"/>
        <rFont val="Calibri"/>
        <family val="2"/>
        <charset val="1"/>
      </rPr>
      <t xml:space="preserve">(Adafruit 4876)</t>
    </r>
  </si>
  <si>
    <t xml:space="preserve">https://www.icbanq.com/P016358529</t>
  </si>
  <si>
    <r>
      <rPr>
        <sz val="12"/>
        <color theme="1"/>
        <rFont val="Calibri"/>
        <family val="2"/>
        <charset val="1"/>
      </rPr>
      <t xml:space="preserve">100 nF 1206 </t>
    </r>
    <r>
      <rPr>
        <sz val="12"/>
        <color theme="1"/>
        <rFont val="PingFang SC"/>
        <family val="2"/>
      </rPr>
      <t xml:space="preserve">칩 콘덴서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삼성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</si>
  <si>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https://www.icbanq.com/P014968846</t>
  </si>
  <si>
    <r>
      <rPr>
        <sz val="12"/>
        <color theme="1"/>
        <rFont val="PingFang SC"/>
        <family val="2"/>
      </rPr>
      <t xml:space="preserve">캡스턴 나사 </t>
    </r>
    <r>
      <rPr>
        <sz val="12"/>
        <color theme="1"/>
        <rFont val="Calibri"/>
        <family val="2"/>
        <charset val="1"/>
      </rPr>
      <t xml:space="preserve">M3×6 </t>
    </r>
    <r>
      <rPr>
        <sz val="12"/>
        <color theme="1"/>
        <rFont val="PingFang SC"/>
        <family val="2"/>
      </rPr>
      <t xml:space="preserve">버튼헤드 </t>
    </r>
    <r>
      <rPr>
        <sz val="12"/>
        <color theme="1"/>
        <rFont val="Calibri"/>
        <family val="2"/>
        <charset val="1"/>
      </rPr>
      <t xml:space="preserve">SUS304</t>
    </r>
  </si>
  <si>
    <t xml:space="preserve">https://www.icbanq.com/P015973844</t>
  </si>
  <si>
    <r>
      <rPr>
        <sz val="12"/>
        <color theme="1"/>
        <rFont val="PingFang SC"/>
        <family val="2"/>
      </rPr>
      <t xml:space="preserve">스텐 렌치볼트 </t>
    </r>
    <r>
      <rPr>
        <sz val="12"/>
        <color theme="1"/>
        <rFont val="Calibri"/>
        <family val="2"/>
        <charset val="1"/>
      </rPr>
      <t xml:space="preserve">M2.5 × 6 — 50</t>
    </r>
    <r>
      <rPr>
        <sz val="12"/>
        <color theme="1"/>
        <rFont val="PingFang SC"/>
        <family val="2"/>
      </rPr>
      <t xml:space="preserve">개 봉 </t>
    </r>
    <r>
      <rPr>
        <sz val="12"/>
        <color theme="1"/>
        <rFont val="Calibri"/>
        <family val="2"/>
        <charset val="1"/>
      </rPr>
      <t xml:space="preserve">(Pi 4 + </t>
    </r>
    <r>
      <rPr>
        <sz val="12"/>
        <color theme="1"/>
        <rFont val="PingFang SC"/>
        <family val="2"/>
      </rPr>
      <t xml:space="preserve">화면 </t>
    </r>
    <r>
      <rPr>
        <sz val="12"/>
        <color theme="1"/>
        <rFont val="Calibri"/>
        <family val="2"/>
        <charset val="1"/>
      </rPr>
      <t xml:space="preserve">4)</t>
    </r>
  </si>
  <si>
    <t xml:space="preserve">https://www.icbanq.com/P015971543</t>
  </si>
  <si>
    <r>
      <rPr>
        <sz val="12"/>
        <color theme="1"/>
        <rFont val="Calibri"/>
        <family val="2"/>
        <charset val="1"/>
      </rPr>
      <t xml:space="preserve">1 µF </t>
    </r>
    <r>
      <rPr>
        <sz val="12"/>
        <color theme="1"/>
        <rFont val="PingFang SC"/>
        <family val="2"/>
      </rPr>
      <t xml:space="preserve">적층 세라믹 콘덴서 </t>
    </r>
    <r>
      <rPr>
        <sz val="12"/>
        <color theme="1"/>
        <rFont val="Calibri"/>
        <family val="2"/>
        <charset val="1"/>
      </rPr>
      <t xml:space="preserve">50 V</t>
    </r>
  </si>
  <si>
    <t xml:space="preserve">https://www.icbanq.com/P014159115</t>
  </si>
  <si>
    <r>
      <rPr>
        <sz val="12"/>
        <color theme="1"/>
        <rFont val="Calibri"/>
        <family val="2"/>
        <charset val="1"/>
      </rPr>
      <t xml:space="preserve">1 kΩ 1206 </t>
    </r>
    <r>
      <rPr>
        <sz val="12"/>
        <color theme="1"/>
        <rFont val="PingFang SC"/>
        <family val="2"/>
      </rPr>
      <t xml:space="preserve">칩 저항 </t>
    </r>
    <r>
      <rPr>
        <sz val="12"/>
        <color theme="1"/>
        <rFont val="Calibri"/>
        <family val="2"/>
        <charset val="1"/>
      </rPr>
      <t xml:space="preserve">(Yageo)</t>
    </r>
  </si>
  <si>
    <t xml:space="preserve">https://www.icbanq.com/P011433924</t>
  </si>
  <si>
    <r>
      <rPr>
        <sz val="12"/>
        <color theme="1"/>
        <rFont val="Calibri"/>
        <family val="2"/>
        <charset val="1"/>
      </rPr>
      <t xml:space="preserve">Apple USB-C </t>
    </r>
    <r>
      <rPr>
        <sz val="12"/>
        <color theme="1"/>
        <rFont val="PingFang SC"/>
        <family val="2"/>
      </rPr>
      <t xml:space="preserve">헤드폰 어댑터</t>
    </r>
  </si>
  <si>
    <t xml:space="preserve">쿠팡 로켓배송</t>
  </si>
  <si>
    <t xml:space="preserve">https://www.coupang.com/vp/products/169628214?vendorItemId=90711442678</t>
  </si>
  <si>
    <r>
      <rPr>
        <sz val="12"/>
        <color theme="1"/>
        <rFont val="PingFang SC"/>
        <family val="2"/>
      </rPr>
      <t xml:space="preserve">네오디뮴 자석 </t>
    </r>
    <r>
      <rPr>
        <sz val="12"/>
        <color theme="1"/>
        <rFont val="Calibri"/>
        <family val="2"/>
        <charset val="1"/>
      </rPr>
      <t xml:space="preserve">Ø8×3 12</t>
    </r>
    <r>
      <rPr>
        <sz val="12"/>
        <color theme="1"/>
        <rFont val="PingFang SC"/>
        <family val="2"/>
      </rPr>
      <t xml:space="preserve">개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뚜껑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</si>
  <si>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https://www.coupang.com/vp/products/7589411879?vendorItemId=87148299583</t>
  </si>
  <si>
    <r>
      <rPr>
        <sz val="12"/>
        <color theme="1"/>
        <rFont val="PingFang SC"/>
        <family val="2"/>
      </rPr>
      <t xml:space="preserve">삼미 </t>
    </r>
    <r>
      <rPr>
        <sz val="12"/>
        <color theme="1"/>
        <rFont val="Calibri"/>
        <family val="2"/>
        <charset val="1"/>
      </rPr>
      <t xml:space="preserve">CW-100B25 4</t>
    </r>
    <r>
      <rPr>
        <sz val="12"/>
        <color theme="1"/>
        <rFont val="PingFang SC"/>
        <family val="2"/>
      </rPr>
      <t xml:space="preserve">인치 스피커 </t>
    </r>
    <r>
      <rPr>
        <sz val="12"/>
        <color theme="1"/>
        <rFont val="Calibri"/>
        <family val="2"/>
        <charset val="1"/>
      </rPr>
      <t xml:space="preserve">8 Ω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</si>
  <si>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삼미 </t>
    </r>
    <r>
      <rPr>
        <sz val="12"/>
        <color theme="1"/>
        <rFont val="Calibri"/>
        <family val="2"/>
        <charset val="1"/>
      </rPr>
      <t xml:space="preserve">CW-100B25 </t>
    </r>
    <r>
      <rPr>
        <sz val="12"/>
        <color theme="1"/>
        <rFont val="PingFang SC"/>
        <family val="2"/>
      </rPr>
      <t xml:space="preserve">판매자</t>
    </r>
  </si>
  <si>
    <t xml:space="preserve">https://www.coupang.com/vp/products/181380607?vendorItemId=4341984346</t>
  </si>
  <si>
    <r>
      <rPr>
        <sz val="12"/>
        <color theme="1"/>
        <rFont val="PingFang SC"/>
        <family val="2"/>
      </rPr>
      <t xml:space="preserve">세메다인 슈퍼</t>
    </r>
    <r>
      <rPr>
        <sz val="12"/>
        <color theme="1"/>
        <rFont val="Calibri"/>
        <family val="2"/>
        <charset val="1"/>
      </rPr>
      <t xml:space="preserve">X 8008 </t>
    </r>
    <r>
      <rPr>
        <sz val="12"/>
        <color theme="1"/>
        <rFont val="PingFang SC"/>
        <family val="2"/>
      </rPr>
      <t xml:space="preserve">흑색 </t>
    </r>
    <r>
      <rPr>
        <sz val="12"/>
        <color theme="1"/>
        <rFont val="Calibri"/>
        <family val="2"/>
        <charset val="1"/>
      </rPr>
      <t xml:space="preserve">20 mL (MS </t>
    </r>
    <r>
      <rPr>
        <sz val="12"/>
        <color theme="1"/>
        <rFont val="PingFang SC"/>
        <family val="2"/>
      </rPr>
      <t xml:space="preserve">폴리머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</si>
  <si>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세메다인 판매자</t>
    </r>
  </si>
  <si>
    <t xml:space="preserve">https://www.coupang.com/vp/products/7839505281?vendorItemId=90922897918</t>
  </si>
  <si>
    <r>
      <rPr>
        <sz val="12"/>
        <color theme="1"/>
        <rFont val="Calibri"/>
        <family val="2"/>
        <charset val="1"/>
      </rPr>
      <t xml:space="preserve">10 µF 1206 </t>
    </r>
    <r>
      <rPr>
        <sz val="12"/>
        <color theme="1"/>
        <rFont val="PingFang SC"/>
        <family val="2"/>
      </rPr>
      <t xml:space="preserve">칩 콘덴서 </t>
    </r>
    <r>
      <rPr>
        <sz val="12"/>
        <color theme="1"/>
        <rFont val="Calibri"/>
        <family val="2"/>
        <charset val="1"/>
      </rPr>
      <t xml:space="preserve">16 V (</t>
    </r>
    <r>
      <rPr>
        <sz val="12"/>
        <color theme="1"/>
        <rFont val="PingFang SC"/>
        <family val="2"/>
      </rPr>
      <t xml:space="preserve">삼성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낱개</t>
    </r>
    <r>
      <rPr>
        <sz val="12"/>
        <color theme="1"/>
        <rFont val="Calibri"/>
        <family val="2"/>
        <charset val="1"/>
      </rPr>
      <t xml:space="preserve">)</t>
    </r>
  </si>
  <si>
    <t xml:space="preserve">엘레파츠</t>
  </si>
  <si>
    <t xml:space="preserve">https://www.eleparts.co.kr/goods/view?no=2675965</t>
  </si>
  <si>
    <r>
      <rPr>
        <sz val="12"/>
        <color theme="1"/>
        <rFont val="Calibri"/>
        <family val="2"/>
        <charset val="1"/>
      </rPr>
      <t xml:space="preserve">16</t>
    </r>
    <r>
      <rPr>
        <sz val="12"/>
        <color theme="1"/>
        <rFont val="PingFang SC"/>
        <family val="2"/>
      </rPr>
      <t xml:space="preserve">심 리본 케이블 </t>
    </r>
    <r>
      <rPr>
        <sz val="12"/>
        <color theme="1"/>
        <rFont val="Calibri"/>
        <family val="2"/>
        <charset val="1"/>
      </rPr>
      <t xml:space="preserve">2651-16P (</t>
    </r>
    <r>
      <rPr>
        <sz val="12"/>
        <color theme="1"/>
        <rFont val="PingFang SC"/>
        <family val="2"/>
      </rPr>
      <t xml:space="preserve">센서 선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</si>
  <si>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https://www.eleparts.co.kr/goods/view?no=425</t>
  </si>
  <si>
    <r>
      <rPr>
        <sz val="12"/>
        <color theme="1"/>
        <rFont val="Calibri"/>
        <family val="2"/>
        <charset val="1"/>
      </rPr>
      <t xml:space="preserve">3.5 mm </t>
    </r>
    <r>
      <rPr>
        <sz val="12"/>
        <color theme="1"/>
        <rFont val="PingFang SC"/>
        <family val="2"/>
      </rPr>
      <t xml:space="preserve">스테레오 </t>
    </r>
    <r>
      <rPr>
        <sz val="12"/>
        <color theme="1"/>
        <rFont val="Calibri"/>
        <family val="2"/>
        <charset val="1"/>
      </rPr>
      <t xml:space="preserve">AUX </t>
    </r>
    <r>
      <rPr>
        <sz val="12"/>
        <color theme="1"/>
        <rFont val="PingFang SC"/>
        <family val="2"/>
      </rPr>
      <t xml:space="preserve">선 </t>
    </r>
    <r>
      <rPr>
        <sz val="12"/>
        <color theme="1"/>
        <rFont val="Calibri"/>
        <family val="2"/>
        <charset val="1"/>
      </rPr>
      <t xml:space="preserve">3 m (</t>
    </r>
    <r>
      <rPr>
        <sz val="12"/>
        <color theme="1"/>
        <rFont val="PingFang SC"/>
        <family val="2"/>
      </rPr>
      <t xml:space="preserve">페달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</si>
  <si>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https://www.eleparts.co.kr/goods/view?no=2925651</t>
  </si>
  <si>
    <r>
      <rPr>
        <sz val="12"/>
        <color theme="1"/>
        <rFont val="Calibri"/>
        <family val="2"/>
        <charset val="1"/>
      </rPr>
      <t xml:space="preserve">3.5 mm </t>
    </r>
    <r>
      <rPr>
        <sz val="12"/>
        <color theme="1"/>
        <rFont val="PingFang SC"/>
        <family val="2"/>
      </rPr>
      <t xml:space="preserve">스테레오 </t>
    </r>
    <r>
      <rPr>
        <sz val="12"/>
        <color theme="1"/>
        <rFont val="Calibri"/>
        <family val="2"/>
        <charset val="1"/>
      </rPr>
      <t xml:space="preserve">AUX </t>
    </r>
    <r>
      <rPr>
        <sz val="12"/>
        <color theme="1"/>
        <rFont val="PingFang SC"/>
        <family val="2"/>
      </rPr>
      <t xml:space="preserve">선 </t>
    </r>
    <r>
      <rPr>
        <sz val="12"/>
        <color theme="1"/>
        <rFont val="Calibri"/>
        <family val="2"/>
        <charset val="1"/>
      </rPr>
      <t xml:space="preserve">3 m 1</t>
    </r>
    <r>
      <rPr>
        <sz val="12"/>
        <color theme="1"/>
        <rFont val="PingFang SC"/>
        <family val="2"/>
      </rPr>
      <t xml:space="preserve">가닥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반으로 잘라 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PingFang SC"/>
        <family val="2"/>
      </rPr>
      <t xml:space="preserve">가닥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</si>
  <si>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Calibri"/>
        <family val="2"/>
        <charset val="1"/>
      </rPr>
      <t xml:space="preserve">16</t>
    </r>
    <r>
      <rPr>
        <sz val="12"/>
        <color theme="1"/>
        <rFont val="PingFang SC"/>
        <family val="2"/>
      </rPr>
      <t xml:space="preserve">심 리본 케이블 추가 </t>
    </r>
    <r>
      <rPr>
        <sz val="12"/>
        <color theme="1"/>
        <rFont val="Calibri"/>
        <family val="2"/>
        <charset val="1"/>
      </rPr>
      <t xml:space="preserve">1 m (</t>
    </r>
    <r>
      <rPr>
        <sz val="12"/>
        <color theme="1"/>
        <rFont val="PingFang SC"/>
        <family val="2"/>
      </rPr>
      <t xml:space="preserve">배선용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</si>
  <si>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벨크로 링벨트 </t>
    </r>
    <r>
      <rPr>
        <sz val="12"/>
        <color theme="1"/>
        <rFont val="Calibri"/>
        <family val="2"/>
        <charset val="1"/>
      </rPr>
      <t xml:space="preserve">20 mm × 30 cm (</t>
    </r>
    <r>
      <rPr>
        <sz val="12"/>
        <color theme="1"/>
        <rFont val="PingFang SC"/>
        <family val="2"/>
      </rPr>
      <t xml:space="preserve">배터리 고정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</si>
  <si>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https://www.eleparts.co.kr/goods/view?no=12816289</t>
  </si>
  <si>
    <r>
      <rPr>
        <sz val="12"/>
        <color theme="1"/>
        <rFont val="PingFang SC"/>
        <family val="2"/>
      </rPr>
      <t xml:space="preserve">화성고무 피스고무발 </t>
    </r>
    <r>
      <rPr>
        <sz val="12"/>
        <color theme="1"/>
        <rFont val="Calibri"/>
        <family val="2"/>
        <charset val="1"/>
      </rPr>
      <t xml:space="preserve">28×5 (RUB-E2)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</si>
  <si>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화성고무 판매자</t>
    </r>
  </si>
  <si>
    <t xml:space="preserve">https://www.coupang.com/vp/products/130058387?vendorItemId=3929147929</t>
  </si>
  <si>
    <r>
      <rPr>
        <sz val="12"/>
        <color theme="1"/>
        <rFont val="PingFang SC"/>
        <family val="2"/>
      </rPr>
      <t xml:space="preserve">메리노 울 펠트 </t>
    </r>
    <r>
      <rPr>
        <sz val="12"/>
        <color theme="1"/>
        <rFont val="Calibri"/>
        <family val="2"/>
        <charset val="1"/>
      </rPr>
      <t xml:space="preserve">1T 20×30 cm (80 </t>
    </r>
    <r>
      <rPr>
        <sz val="12"/>
        <color theme="1"/>
        <rFont val="PingFang SC"/>
        <family val="2"/>
      </rPr>
      <t xml:space="preserve">블랙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</si>
  <si>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스튜디오분트</t>
    </r>
  </si>
  <si>
    <t xml:space="preserve">https://www.coupang.com/vp/products/6627385385?vendorItemId=82316320569</t>
  </si>
  <si>
    <r>
      <rPr>
        <sz val="12"/>
        <color theme="1"/>
        <rFont val="Calibri"/>
        <family val="2"/>
        <charset val="1"/>
      </rPr>
      <t xml:space="preserve">SUS304 </t>
    </r>
    <r>
      <rPr>
        <sz val="12"/>
        <color theme="1"/>
        <rFont val="PingFang SC"/>
        <family val="2"/>
      </rPr>
      <t xml:space="preserve">환봉 </t>
    </r>
    <r>
      <rPr>
        <sz val="12"/>
        <color theme="1"/>
        <rFont val="Calibri"/>
        <family val="2"/>
        <charset val="1"/>
      </rPr>
      <t xml:space="preserve">Ø4×1 m — </t>
    </r>
    <r>
      <rPr>
        <sz val="12"/>
        <color theme="1"/>
        <rFont val="PingFang SC"/>
        <family val="2"/>
      </rPr>
      <t xml:space="preserve">건반 봉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</si>
  <si>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스텐환봉 절단판매</t>
    </r>
    <r>
      <rPr>
        <sz val="12"/>
        <color theme="1"/>
        <rFont val="Calibri"/>
        <family val="2"/>
        <charset val="1"/>
      </rPr>
      <t xml:space="preserve">(onezaze)</t>
    </r>
  </si>
  <si>
    <t xml:space="preserve">https://www.coupang.com/vp/products/7575965502?vendorItemId=87087416424</t>
  </si>
  <si>
    <r>
      <rPr>
        <sz val="12"/>
        <color theme="1"/>
        <rFont val="Calibri"/>
        <family val="2"/>
        <charset val="1"/>
      </rPr>
      <t xml:space="preserve">SUS304 </t>
    </r>
    <r>
      <rPr>
        <sz val="12"/>
        <color theme="1"/>
        <rFont val="PingFang SC"/>
        <family val="2"/>
      </rPr>
      <t xml:space="preserve">환봉 </t>
    </r>
    <r>
      <rPr>
        <sz val="12"/>
        <color theme="1"/>
        <rFont val="Calibri"/>
        <family val="2"/>
        <charset val="1"/>
      </rPr>
      <t xml:space="preserve">Ø4×1 m — </t>
    </r>
    <r>
      <rPr>
        <sz val="12"/>
        <color theme="1"/>
        <rFont val="PingFang SC"/>
        <family val="2"/>
      </rPr>
      <t xml:space="preserve">레버 봉</t>
    </r>
  </si>
  <si>
    <r>
      <rPr>
        <sz val="12"/>
        <color theme="1"/>
        <rFont val="Calibri"/>
        <family val="2"/>
        <charset val="1"/>
      </rPr>
      <t xml:space="preserve">M3 </t>
    </r>
    <r>
      <rPr>
        <sz val="12"/>
        <color theme="1"/>
        <rFont val="PingFang SC"/>
        <family val="2"/>
      </rPr>
      <t xml:space="preserve">방진 댐퍼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그로밋</t>
    </r>
    <r>
      <rPr>
        <sz val="12"/>
        <color theme="1"/>
        <rFont val="Calibri"/>
        <family val="2"/>
        <charset val="1"/>
      </rPr>
      <t xml:space="preserve">) 20</t>
    </r>
    <r>
      <rPr>
        <sz val="12"/>
        <color theme="1"/>
        <rFont val="PingFang SC"/>
        <family val="2"/>
      </rPr>
      <t xml:space="preserve">개</t>
    </r>
  </si>
  <si>
    <r>
      <rPr>
        <sz val="12"/>
        <color theme="1"/>
        <rFont val="PingFang SC"/>
        <family val="2"/>
      </rPr>
      <t xml:space="preserve">디바이스마트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입점 판매자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댐퍼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</si>
  <si>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https://www.devicemart.co.kr/goods/view?no=16080883</t>
  </si>
  <si>
    <r>
      <rPr>
        <sz val="12"/>
        <color theme="1"/>
        <rFont val="PingFang SC"/>
        <family val="2"/>
      </rPr>
      <t xml:space="preserve">스텐 직결피스 </t>
    </r>
    <r>
      <rPr>
        <sz val="12"/>
        <color theme="1"/>
        <rFont val="Calibri"/>
        <family val="2"/>
        <charset val="1"/>
      </rPr>
      <t xml:space="preserve">8</t>
    </r>
    <r>
      <rPr>
        <sz val="12"/>
        <color theme="1"/>
        <rFont val="PingFang SC"/>
        <family val="2"/>
      </rPr>
      <t xml:space="preserve">호 </t>
    </r>
    <r>
      <rPr>
        <sz val="12"/>
        <color theme="1"/>
        <rFont val="Calibri"/>
        <family val="2"/>
        <charset val="1"/>
      </rPr>
      <t xml:space="preserve">13 mm (</t>
    </r>
    <r>
      <rPr>
        <sz val="12"/>
        <color theme="1"/>
        <rFont val="PingFang SC"/>
        <family val="2"/>
      </rPr>
      <t xml:space="preserve">고무발</t>
    </r>
    <r>
      <rPr>
        <sz val="12"/>
        <color theme="1"/>
        <rFont val="Calibri"/>
        <family val="2"/>
        <charset val="1"/>
      </rPr>
      <t xml:space="preserve">)</t>
    </r>
  </si>
  <si>
    <t xml:space="preserve">디바이스마트</t>
  </si>
  <si>
    <t xml:space="preserve">https://www.devicemart.co.kr/goods/view?no=10912779</t>
  </si>
  <si>
    <r>
      <rPr>
        <sz val="12"/>
        <color theme="1"/>
        <rFont val="PingFang SC"/>
        <family val="2"/>
      </rPr>
      <t xml:space="preserve">스텐 렌치볼트 </t>
    </r>
    <r>
      <rPr>
        <sz val="12"/>
        <color theme="1"/>
        <rFont val="Calibri"/>
        <family val="2"/>
        <charset val="1"/>
      </rPr>
      <t xml:space="preserve">M4 × 12 (</t>
    </r>
    <r>
      <rPr>
        <sz val="12"/>
        <color theme="1"/>
        <rFont val="PingFang SC"/>
        <family val="2"/>
      </rPr>
      <t xml:space="preserve">스피커 유닛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</si>
  <si>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https://www.devicemart.co.kr/goods/view?no=10912479</t>
  </si>
  <si>
    <r>
      <rPr>
        <sz val="12"/>
        <color theme="1"/>
        <rFont val="PingFang SC"/>
        <family val="2"/>
      </rPr>
      <t xml:space="preserve">스텐 직결피스 </t>
    </r>
    <r>
      <rPr>
        <sz val="12"/>
        <color theme="1"/>
        <rFont val="Calibri"/>
        <family val="2"/>
        <charset val="1"/>
      </rPr>
      <t xml:space="preserve">8</t>
    </r>
    <r>
      <rPr>
        <sz val="12"/>
        <color theme="1"/>
        <rFont val="PingFang SC"/>
        <family val="2"/>
      </rPr>
      <t xml:space="preserve">호 </t>
    </r>
    <r>
      <rPr>
        <sz val="12"/>
        <color theme="1"/>
        <rFont val="Calibri"/>
        <family val="2"/>
        <charset val="1"/>
      </rPr>
      <t xml:space="preserve">19 mm (</t>
    </r>
    <r>
      <rPr>
        <sz val="12"/>
        <color theme="1"/>
        <rFont val="PingFang SC"/>
        <family val="2"/>
      </rPr>
      <t xml:space="preserve">그릴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</si>
  <si>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https://www.devicemart.co.kr/goods/view?no=10912781</t>
  </si>
  <si>
    <r>
      <rPr>
        <sz val="12"/>
        <color theme="1"/>
        <rFont val="Calibri"/>
        <family val="2"/>
        <charset val="1"/>
      </rPr>
      <t xml:space="preserve">PJ-313 3.5 mm </t>
    </r>
    <r>
      <rPr>
        <sz val="12"/>
        <color theme="1"/>
        <rFont val="PingFang SC"/>
        <family val="2"/>
      </rPr>
      <t xml:space="preserve">스테레오 잭</t>
    </r>
  </si>
  <si>
    <t xml:space="preserve">https://www.devicemart.co.kr/goods/view?no=2674</t>
  </si>
  <si>
    <r>
      <rPr>
        <sz val="12"/>
        <color theme="1"/>
        <rFont val="PingFang SC"/>
        <family val="2"/>
      </rPr>
      <t xml:space="preserve">스텐 트러스 태핑 피스 </t>
    </r>
    <r>
      <rPr>
        <sz val="12"/>
        <color theme="1"/>
        <rFont val="Calibri"/>
        <family val="2"/>
        <charset val="1"/>
      </rPr>
      <t xml:space="preserve">M3 × 12 (</t>
    </r>
    <r>
      <rPr>
        <sz val="12"/>
        <color theme="1"/>
        <rFont val="PingFang SC"/>
        <family val="2"/>
      </rPr>
      <t xml:space="preserve">허브 선반 받침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</si>
  <si>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https://www.devicemart.co.kr/goods/view?no=10911806</t>
  </si>
  <si>
    <r>
      <rPr>
        <sz val="12"/>
        <color theme="1"/>
        <rFont val="PingFang SC"/>
        <family val="2"/>
      </rPr>
      <t xml:space="preserve">접시머리 직결피스 </t>
    </r>
    <r>
      <rPr>
        <sz val="12"/>
        <color theme="1"/>
        <rFont val="Calibri"/>
        <family val="2"/>
        <charset val="1"/>
      </rPr>
      <t xml:space="preserve">8</t>
    </r>
    <r>
      <rPr>
        <sz val="12"/>
        <color theme="1"/>
        <rFont val="PingFang SC"/>
        <family val="2"/>
      </rPr>
      <t xml:space="preserve">호 </t>
    </r>
    <r>
      <rPr>
        <sz val="12"/>
        <color theme="1"/>
        <rFont val="Calibri"/>
        <family val="2"/>
        <charset val="1"/>
      </rPr>
      <t xml:space="preserve">13 mm (</t>
    </r>
    <r>
      <rPr>
        <sz val="12"/>
        <color theme="1"/>
        <rFont val="PingFang SC"/>
        <family val="2"/>
      </rPr>
      <t xml:space="preserve">뒤판</t>
    </r>
    <r>
      <rPr>
        <sz val="12"/>
        <color theme="1"/>
        <rFont val="Calibri"/>
        <family val="2"/>
        <charset val="1"/>
      </rPr>
      <t xml:space="preserve">·</t>
    </r>
    <r>
      <rPr>
        <sz val="12"/>
        <color theme="1"/>
        <rFont val="PingFang SC"/>
        <family val="2"/>
      </rPr>
      <t xml:space="preserve">배터리 받침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철 백색 아연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</si>
  <si>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https://www.devicemart.co.kr/goods/view?no=10912759</t>
  </si>
  <si>
    <r>
      <rPr>
        <sz val="12"/>
        <color theme="1"/>
        <rFont val="PingFang SC"/>
        <family val="2"/>
      </rPr>
      <t xml:space="preserve">흑연 가루 </t>
    </r>
    <r>
      <rPr>
        <sz val="12"/>
        <color theme="1"/>
        <rFont val="Calibri"/>
        <family val="2"/>
        <charset val="1"/>
      </rPr>
      <t xml:space="preserve">30 ml (</t>
    </r>
    <r>
      <rPr>
        <sz val="12"/>
        <color theme="1"/>
        <rFont val="PingFang SC"/>
        <family val="2"/>
      </rPr>
      <t xml:space="preserve">드로잉용 흑연 파우더 소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</si>
  <si>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흑연파우더 판매자</t>
    </r>
  </si>
  <si>
    <t xml:space="preserve">https://www.coupang.com/vp/products/8243268767?vendorItemId=90747166966</t>
  </si>
  <si>
    <r>
      <rPr>
        <sz val="12"/>
        <color theme="1"/>
        <rFont val="PingFang SC"/>
        <family val="2"/>
      </rPr>
      <t xml:space="preserve">학교 구매 합계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물건값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</t>
    </r>
    <r>
      <rPr>
        <sz val="12"/>
        <color theme="1"/>
        <rFont val="Calibri"/>
        <family val="2"/>
        <charset val="1"/>
      </rPr>
      <t xml:space="preserve">200,000</t>
    </r>
    <r>
      <rPr>
        <sz val="12"/>
        <color theme="1"/>
        <rFont val="PingFang SC"/>
        <family val="2"/>
      </rPr>
      <t xml:space="preserve">원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</si>
  <si>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삼미 </t>
    </r>
    <r>
      <rPr>
        <sz val="12"/>
        <color theme="1"/>
        <rFont val="Calibri"/>
        <family val="2"/>
        <charset val="1"/>
      </rPr>
      <t xml:space="preserve">CW-100B25 </t>
    </r>
    <r>
      <rPr>
        <sz val="12"/>
        <color theme="1"/>
        <rFont val="PingFang SC"/>
        <family val="2"/>
      </rPr>
      <t xml:space="preserve">판매자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</si>
  <si>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세메다인 판매자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</si>
  <si>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엘레파츠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</si>
  <si>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화성고무 판매자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</si>
  <si>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스튜디오분트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</si>
  <si>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스텐환봉 절단판매</t>
    </r>
    <r>
      <rPr>
        <sz val="12"/>
        <color theme="1"/>
        <rFont val="Calibri"/>
        <family val="2"/>
        <charset val="1"/>
      </rPr>
      <t xml:space="preserve">(onezaze) 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</si>
  <si>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디바이스마트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입점 판매자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댐퍼</t>
    </r>
    <r>
      <rPr>
        <sz val="12"/>
        <color theme="1"/>
        <rFont val="Calibri"/>
        <family val="2"/>
        <charset val="1"/>
      </rPr>
      <t xml:space="preserve">) 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</si>
  <si>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디바이스마트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</si>
  <si>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배송비 — 쿠팡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흑연파우더 판매자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학교 부담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</si>
  <si>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학교 주문 배송비 합계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</si>
  <si>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학교 결제 총액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물건값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PingFang SC"/>
        <family val="2"/>
      </rPr>
      <t xml:space="preserve">배송비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</si>
  <si>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강철 띠 </t>
    </r>
    <r>
      <rPr>
        <sz val="12"/>
        <color theme="1"/>
        <rFont val="Calibri"/>
        <family val="2"/>
        <charset val="1"/>
      </rPr>
      <t xml:space="preserve">9T×19×1 m (</t>
    </r>
    <r>
      <rPr>
        <sz val="12"/>
        <color theme="1"/>
        <rFont val="PingFang SC"/>
        <family val="2"/>
      </rPr>
      <t xml:space="preserve">강철 블록용</t>
    </r>
    <r>
      <rPr>
        <sz val="12"/>
        <color theme="1"/>
        <rFont val="Calibri"/>
        <family val="2"/>
        <charset val="1"/>
      </rPr>
      <t xml:space="preserve">)</t>
    </r>
  </si>
  <si>
    <t xml:space="preserve">올스틸샵</t>
  </si>
  <si>
    <t xml:space="preserve">https://www.allsteelshop.com/product/squareplate/9t</t>
  </si>
  <si>
    <t xml:space="preserve">배송비 — 올스틸샵</t>
  </si>
  <si>
    <r>
      <rPr>
        <sz val="12"/>
        <color theme="1"/>
        <rFont val="PingFang SC"/>
        <family val="2"/>
      </rPr>
      <t xml:space="preserve">미스미 토션스프링 </t>
    </r>
    <r>
      <rPr>
        <sz val="12"/>
        <color theme="1"/>
        <rFont val="Calibri"/>
        <family val="2"/>
        <charset val="1"/>
      </rPr>
      <t xml:space="preserve">C-UA90R5-3-0.5</t>
    </r>
  </si>
  <si>
    <t xml:space="preserve">한국미스미</t>
  </si>
  <si>
    <t xml:space="preserve">https://kr.misumi-ec.com/vona2/detail/110310556289/?HissuCode=C-UA90R5-3-0.5</t>
  </si>
  <si>
    <r>
      <rPr>
        <sz val="12"/>
        <color theme="1"/>
        <rFont val="Calibri"/>
        <family val="2"/>
        <charset val="1"/>
      </rPr>
      <t xml:space="preserve">RP2040-Zero </t>
    </r>
    <r>
      <rPr>
        <sz val="12"/>
        <color theme="1"/>
        <rFont val="PingFang SC"/>
        <family val="2"/>
      </rPr>
      <t xml:space="preserve">보드 </t>
    </r>
    <r>
      <rPr>
        <sz val="12"/>
        <color theme="1"/>
        <rFont val="Calibri"/>
        <family val="2"/>
        <charset val="1"/>
      </rPr>
      <t xml:space="preserve">(PP-A799-2)</t>
    </r>
  </si>
  <si>
    <t xml:space="preserve">파츠파츠</t>
  </si>
  <si>
    <t xml:space="preserve">https://parts-parts.co.kr/product/detail.html?product_no=2383</t>
  </si>
  <si>
    <r>
      <rPr>
        <sz val="12"/>
        <color theme="1"/>
        <rFont val="Calibri"/>
        <family val="2"/>
        <charset val="1"/>
      </rPr>
      <t xml:space="preserve">16</t>
    </r>
    <r>
      <rPr>
        <sz val="12"/>
        <color theme="1"/>
        <rFont val="PingFang SC"/>
        <family val="2"/>
      </rPr>
      <t xml:space="preserve">채널 먹스 모듈 </t>
    </r>
    <r>
      <rPr>
        <sz val="12"/>
        <color theme="1"/>
        <rFont val="Calibri"/>
        <family val="2"/>
        <charset val="1"/>
      </rPr>
      <t xml:space="preserve">CD74HC4067</t>
    </r>
  </si>
  <si>
    <t xml:space="preserve">https://parts-parts.co.kr/product/detail.html?product_no=303</t>
  </si>
  <si>
    <t xml:space="preserve">배송비 — 파츠파츠</t>
  </si>
  <si>
    <r>
      <rPr>
        <sz val="12"/>
        <color theme="1"/>
        <rFont val="Calibri"/>
        <family val="2"/>
        <charset val="1"/>
      </rPr>
      <t xml:space="preserve">WAKI </t>
    </r>
    <r>
      <rPr>
        <sz val="12"/>
        <color theme="1"/>
        <rFont val="PingFang SC"/>
        <family val="2"/>
      </rPr>
      <t xml:space="preserve">하네나이트 </t>
    </r>
    <r>
      <rPr>
        <sz val="12"/>
        <color theme="1"/>
        <rFont val="Calibri"/>
        <family val="2"/>
        <charset val="1"/>
      </rPr>
      <t xml:space="preserve">1T 170×245 (HNT002)</t>
    </r>
  </si>
  <si>
    <t xml:space="preserve">나비엠알오</t>
  </si>
  <si>
    <t xml:space="preserve">https://www.navimro.com/g/1029233/</t>
  </si>
  <si>
    <r>
      <rPr>
        <sz val="12"/>
        <color theme="1"/>
        <rFont val="PingFang SC"/>
        <family val="2"/>
      </rPr>
      <t xml:space="preserve">오공 </t>
    </r>
    <r>
      <rPr>
        <sz val="12"/>
        <color theme="1"/>
        <rFont val="Calibri"/>
        <family val="2"/>
        <charset val="1"/>
      </rPr>
      <t xml:space="preserve">205 </t>
    </r>
    <r>
      <rPr>
        <sz val="12"/>
        <color theme="1"/>
        <rFont val="PingFang SC"/>
        <family val="2"/>
      </rPr>
      <t xml:space="preserve">목공본드 </t>
    </r>
    <r>
      <rPr>
        <sz val="12"/>
        <color theme="1"/>
        <rFont val="Calibri"/>
        <family val="2"/>
        <charset val="1"/>
      </rPr>
      <t xml:space="preserve">800 g</t>
    </r>
  </si>
  <si>
    <t xml:space="preserve">https://www.navimro.com/g/395062/</t>
  </si>
  <si>
    <r>
      <rPr>
        <sz val="12"/>
        <color theme="1"/>
        <rFont val="Calibri"/>
        <family val="2"/>
        <charset val="1"/>
      </rPr>
      <t xml:space="preserve">WAKI PORON 5T </t>
    </r>
    <r>
      <rPr>
        <sz val="12"/>
        <color theme="1"/>
        <rFont val="PingFang SC"/>
        <family val="2"/>
      </rPr>
      <t xml:space="preserve">점착 </t>
    </r>
    <r>
      <rPr>
        <sz val="12"/>
        <color theme="1"/>
        <rFont val="Calibri"/>
        <family val="2"/>
        <charset val="1"/>
      </rPr>
      <t xml:space="preserve">100×100 (PON-02)</t>
    </r>
  </si>
  <si>
    <t xml:space="preserve">https://www.navimro.com/g/1028764/</t>
  </si>
  <si>
    <r>
      <rPr>
        <sz val="12"/>
        <color theme="1"/>
        <rFont val="Calibri"/>
        <family val="2"/>
        <charset val="1"/>
      </rPr>
      <t xml:space="preserve">OHP </t>
    </r>
    <r>
      <rPr>
        <sz val="12"/>
        <color theme="1"/>
        <rFont val="PingFang SC"/>
        <family val="2"/>
      </rPr>
      <t xml:space="preserve">필름 </t>
    </r>
    <r>
      <rPr>
        <sz val="12"/>
        <color theme="1"/>
        <rFont val="Calibri"/>
        <family val="2"/>
        <charset val="1"/>
      </rPr>
      <t xml:space="preserve">A4 0.1 mm 20</t>
    </r>
    <r>
      <rPr>
        <sz val="12"/>
        <color theme="1"/>
        <rFont val="PingFang SC"/>
        <family val="2"/>
      </rPr>
      <t xml:space="preserve">매 </t>
    </r>
    <r>
      <rPr>
        <sz val="12"/>
        <color theme="1"/>
        <rFont val="Calibri"/>
        <family val="2"/>
        <charset val="1"/>
      </rPr>
      <t xml:space="preserve">(PET </t>
    </r>
    <r>
      <rPr>
        <sz val="12"/>
        <color theme="1"/>
        <rFont val="PingFang SC"/>
        <family val="2"/>
      </rPr>
      <t xml:space="preserve">심용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</si>
  <si>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https://www.navimro.com/g/37021/</t>
  </si>
  <si>
    <t xml:space="preserve">배송비 — 나비엠알오</t>
  </si>
  <si>
    <r>
      <rPr>
        <sz val="12"/>
        <color theme="1"/>
        <rFont val="PingFang SC"/>
        <family val="2"/>
      </rPr>
      <t xml:space="preserve">밸런스 핀 </t>
    </r>
    <r>
      <rPr>
        <sz val="12"/>
        <color theme="1"/>
        <rFont val="Calibri"/>
        <family val="2"/>
        <charset val="1"/>
      </rPr>
      <t xml:space="preserve">Ø2×12 SUS304 (100</t>
    </r>
    <r>
      <rPr>
        <sz val="12"/>
        <color theme="1"/>
        <rFont val="PingFang SC"/>
        <family val="2"/>
      </rPr>
      <t xml:space="preserve">개</t>
    </r>
    <r>
      <rPr>
        <sz val="12"/>
        <color theme="1"/>
        <rFont val="Calibri"/>
        <family val="2"/>
        <charset val="1"/>
      </rPr>
      <t xml:space="preserve">)</t>
    </r>
  </si>
  <si>
    <t xml:space="preserve">나사코리아</t>
  </si>
  <si>
    <t xml:space="preserve">https://www.nasakorea.com/goods/goods_view.php?goodsNo=6009</t>
  </si>
  <si>
    <r>
      <rPr>
        <sz val="12"/>
        <color theme="1"/>
        <rFont val="PingFang SC"/>
        <family val="2"/>
      </rPr>
      <t xml:space="preserve">손잡이볼트 </t>
    </r>
    <r>
      <rPr>
        <sz val="12"/>
        <color theme="1"/>
        <rFont val="Calibri"/>
        <family val="2"/>
        <charset val="1"/>
      </rPr>
      <t xml:space="preserve">M4 × 20 5</t>
    </r>
    <r>
      <rPr>
        <sz val="12"/>
        <color theme="1"/>
        <rFont val="PingFang SC"/>
        <family val="2"/>
      </rPr>
      <t xml:space="preserve">개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스피커 ↔ 가운데 결합</t>
    </r>
    <r>
      <rPr>
        <sz val="12"/>
        <color theme="1"/>
        <rFont val="Calibri"/>
        <family val="2"/>
        <charset val="1"/>
      </rPr>
      <t xml:space="preserve">)</t>
    </r>
  </si>
  <si>
    <t xml:space="preserve">https://nasakorea.com/goods/goods_view.php?goodsNo=6090</t>
  </si>
  <si>
    <t xml:space="preserve">배송비 — 나사코리아</t>
  </si>
  <si>
    <r>
      <rPr>
        <sz val="12"/>
        <color theme="1"/>
        <rFont val="PingFang SC"/>
        <family val="2"/>
      </rPr>
      <t xml:space="preserve">오꾸메 합판 </t>
    </r>
    <r>
      <rPr>
        <sz val="12"/>
        <color theme="1"/>
        <rFont val="Calibri"/>
        <family val="2"/>
        <charset val="1"/>
      </rPr>
      <t xml:space="preserve">400×1200×11.5 (</t>
    </r>
    <r>
      <rPr>
        <sz val="12"/>
        <color theme="1"/>
        <rFont val="PingFang SC"/>
        <family val="2"/>
      </rPr>
      <t xml:space="preserve">뒷바 전체</t>
    </r>
    <r>
      <rPr>
        <sz val="12"/>
        <color theme="1"/>
        <rFont val="Calibri"/>
        <family val="2"/>
        <charset val="1"/>
      </rPr>
      <t xml:space="preserve">)</t>
    </r>
  </si>
  <si>
    <t xml:space="preserve">동진나무공장</t>
  </si>
  <si>
    <t xml:space="preserve">https://namugongjang.com/product/detail.html?product_no=1378</t>
  </si>
  <si>
    <r>
      <rPr>
        <sz val="12"/>
        <color theme="1"/>
        <rFont val="PingFang SC"/>
        <family val="2"/>
      </rPr>
      <t xml:space="preserve">메리노 울 펠트 </t>
    </r>
    <r>
      <rPr>
        <sz val="12"/>
        <color theme="1"/>
        <rFont val="Calibri"/>
        <family val="2"/>
        <charset val="1"/>
      </rPr>
      <t xml:space="preserve">2T 20×30 cm (35 </t>
    </r>
    <r>
      <rPr>
        <sz val="12"/>
        <color theme="1"/>
        <rFont val="PingFang SC"/>
        <family val="2"/>
      </rPr>
      <t xml:space="preserve">블랙</t>
    </r>
    <r>
      <rPr>
        <sz val="12"/>
        <color theme="1"/>
        <rFont val="Calibri"/>
        <family val="2"/>
        <charset val="1"/>
      </rPr>
      <t xml:space="preserve">)</t>
    </r>
  </si>
  <si>
    <t xml:space="preserve">스튜디오분트</t>
  </si>
  <si>
    <t xml:space="preserve">https://studiobunt.com/product/detail.html?product_no=4117</t>
  </si>
  <si>
    <t xml:space="preserve">배송비 — 스튜디오분트</t>
  </si>
  <si>
    <r>
      <rPr>
        <sz val="12"/>
        <color theme="1"/>
        <rFont val="PingFang SC"/>
        <family val="2"/>
      </rPr>
      <t xml:space="preserve">텅스텐 퍼티 </t>
    </r>
    <r>
      <rPr>
        <sz val="12"/>
        <color theme="1"/>
        <rFont val="Calibri"/>
        <family val="2"/>
        <charset val="1"/>
      </rPr>
      <t xml:space="preserve">22 g (</t>
    </r>
    <r>
      <rPr>
        <sz val="12"/>
        <color theme="1"/>
        <rFont val="PingFang SC"/>
        <family val="2"/>
      </rPr>
      <t xml:space="preserve">낚시 싱커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</si>
  <si>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Calibri"/>
        <family val="2"/>
        <charset val="1"/>
      </rPr>
      <t xml:space="preserve">11</t>
    </r>
    <r>
      <rPr>
        <sz val="12"/>
        <color theme="1"/>
        <rFont val="PingFang SC"/>
        <family val="2"/>
      </rPr>
      <t xml:space="preserve">번가</t>
    </r>
  </si>
  <si>
    <t xml:space="preserve">https://www.11st.co.kr/products/9579455646</t>
  </si>
  <si>
    <r>
      <rPr>
        <sz val="12"/>
        <color theme="1"/>
        <rFont val="Calibri"/>
        <family val="2"/>
        <charset val="1"/>
      </rPr>
      <t xml:space="preserve">EVA </t>
    </r>
    <r>
      <rPr>
        <sz val="12"/>
        <color theme="1"/>
        <rFont val="PingFang SC"/>
        <family val="2"/>
      </rPr>
      <t xml:space="preserve">고밀도 폼 </t>
    </r>
    <r>
      <rPr>
        <sz val="12"/>
        <color theme="1"/>
        <rFont val="Calibri"/>
        <family val="2"/>
        <charset val="1"/>
      </rPr>
      <t xml:space="preserve">3T 330×490 </t>
    </r>
    <r>
      <rPr>
        <sz val="12"/>
        <color theme="1"/>
        <rFont val="PingFang SC"/>
        <family val="2"/>
      </rPr>
      <t xml:space="preserve">검정</t>
    </r>
  </si>
  <si>
    <r>
      <rPr>
        <sz val="12"/>
        <color theme="1"/>
        <rFont val="PingFang SC"/>
        <family val="2"/>
      </rPr>
      <t xml:space="preserve">상우아트 </t>
    </r>
    <r>
      <rPr>
        <sz val="12"/>
        <color theme="1"/>
        <rFont val="Calibri"/>
        <family val="2"/>
        <charset val="1"/>
      </rPr>
      <t xml:space="preserve">(11</t>
    </r>
    <r>
      <rPr>
        <sz val="12"/>
        <color theme="1"/>
        <rFont val="PingFang SC"/>
        <family val="2"/>
      </rPr>
      <t xml:space="preserve">번가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</si>
  <si>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https://www.11st.co.kr/products/7591566666</t>
  </si>
  <si>
    <r>
      <rPr>
        <sz val="12"/>
        <color theme="1"/>
        <rFont val="PingFang SC"/>
        <family val="2"/>
      </rPr>
      <t xml:space="preserve">대원 </t>
    </r>
    <r>
      <rPr>
        <sz val="12"/>
        <color theme="1"/>
        <rFont val="Calibri"/>
        <family val="2"/>
        <charset val="1"/>
      </rPr>
      <t xml:space="preserve">0.5T </t>
    </r>
    <r>
      <rPr>
        <sz val="12"/>
        <color theme="1"/>
        <rFont val="PingFang SC"/>
        <family val="2"/>
      </rPr>
      <t xml:space="preserve">접착 펠트지 </t>
    </r>
    <r>
      <rPr>
        <sz val="12"/>
        <color theme="1"/>
        <rFont val="Calibri"/>
        <family val="2"/>
        <charset val="1"/>
      </rPr>
      <t xml:space="preserve">30×45 (H-20 </t>
    </r>
    <r>
      <rPr>
        <sz val="12"/>
        <color theme="1"/>
        <rFont val="PingFang SC"/>
        <family val="2"/>
      </rPr>
      <t xml:space="preserve">검정</t>
    </r>
    <r>
      <rPr>
        <sz val="12"/>
        <color theme="1"/>
        <rFont val="Calibri"/>
        <family val="2"/>
        <charset val="1"/>
      </rPr>
      <t xml:space="preserve">)</t>
    </r>
  </si>
  <si>
    <t xml:space="preserve">https://www.11st.co.kr/products/8517880969</t>
  </si>
  <si>
    <r>
      <rPr>
        <sz val="12"/>
        <color theme="1"/>
        <rFont val="PingFang SC"/>
        <family val="2"/>
      </rPr>
      <t xml:space="preserve">배송비 — 상우아트 </t>
    </r>
    <r>
      <rPr>
        <sz val="12"/>
        <color theme="1"/>
        <rFont val="Calibri"/>
        <family val="2"/>
        <charset val="1"/>
      </rPr>
      <t xml:space="preserve">(11</t>
    </r>
    <r>
      <rPr>
        <sz val="12"/>
        <color theme="1"/>
        <rFont val="PingFang SC"/>
        <family val="2"/>
      </rPr>
      <t xml:space="preserve">번가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</si>
  <si>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네오디뮴 자석 </t>
    </r>
    <r>
      <rPr>
        <sz val="12"/>
        <color theme="1"/>
        <rFont val="Calibri"/>
        <family val="2"/>
        <charset val="1"/>
      </rPr>
      <t xml:space="preserve">Ø5×2 N35</t>
    </r>
  </si>
  <si>
    <t xml:space="preserve">대건상사</t>
  </si>
  <si>
    <t xml:space="preserve">https://dgmagnet.com/product/%EC%B4%88%EA%B0%95%EB%A0%A5-%EB%84%A4%EC%98%A4%EB%94%94%EC%9B%80-%EC%9B%90%ED%98%95%EC%9E%90%EC%84%9D-5mm/13/</t>
  </si>
  <si>
    <t xml:space="preserve">배송비 — 대건상사</t>
  </si>
  <si>
    <r>
      <rPr>
        <sz val="12"/>
        <color theme="1"/>
        <rFont val="PingFang SC"/>
        <family val="2"/>
      </rPr>
      <t xml:space="preserve">방울솜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폴리에스터</t>
    </r>
    <r>
      <rPr>
        <sz val="12"/>
        <color theme="1"/>
        <rFont val="Calibri"/>
        <family val="2"/>
        <charset val="1"/>
      </rPr>
      <t xml:space="preserve">) 1 kg — </t>
    </r>
    <r>
      <rPr>
        <sz val="12"/>
        <color theme="1"/>
        <rFont val="PingFang SC"/>
        <family val="2"/>
      </rPr>
      <t xml:space="preserve">흡음솜</t>
    </r>
  </si>
  <si>
    <t xml:space="preserve">https://www.coupang.com/vp/products/8826157891?vendorItemId=92708146513</t>
  </si>
  <si>
    <r>
      <rPr>
        <sz val="12"/>
        <color theme="1"/>
        <rFont val="PingFang SC"/>
        <family val="2"/>
      </rPr>
      <t xml:space="preserve">사비 구매 합계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배송비 포함</t>
    </r>
    <r>
      <rPr>
        <sz val="12"/>
        <color theme="1"/>
        <rFont val="Calibri"/>
        <family val="2"/>
        <charset val="1"/>
      </rPr>
      <t xml:space="preserve">)</t>
    </r>
  </si>
  <si>
    <t xml:space="preserve">구분</t>
  </si>
  <si>
    <t xml:space="preserve">금액</t>
  </si>
  <si>
    <t xml:space="preserve">비고</t>
  </si>
  <si>
    <r>
      <rPr>
        <sz val="12"/>
        <color theme="1"/>
        <rFont val="PingFang SC"/>
        <family val="2"/>
      </rPr>
      <t xml:space="preserve">학교 구매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물건값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</si>
  <si>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PingFang SC"/>
        <family val="2"/>
      </rPr>
      <t xml:space="preserve">한도 </t>
    </r>
    <r>
      <rPr>
        <sz val="12"/>
        <color theme="1"/>
        <rFont val="Calibri"/>
        <family val="2"/>
        <charset val="1"/>
      </rPr>
      <t xml:space="preserve">200,000</t>
    </r>
    <r>
      <rPr>
        <sz val="12"/>
        <color theme="1"/>
        <rFont val="PingFang SC"/>
        <family val="2"/>
      </rPr>
      <t xml:space="preserve">원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물건값만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PingFang SC"/>
        <family val="2"/>
      </rPr>
      <t xml:space="preserve">배송비는 학교가 따로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PingFang SC"/>
        <family val="2"/>
      </rPr>
      <t xml:space="preserve">한도 밖</t>
    </r>
    <r>
      <rPr>
        <sz val="12"/>
        <color theme="1"/>
        <rFont val="Calibri"/>
        <family val="2"/>
        <charset val="1"/>
      </rPr>
      <t xml:space="preserve">) · </t>
    </r>
    <r>
      <rPr>
        <sz val="12"/>
        <color theme="1"/>
        <rFont val="PingFang SC"/>
        <family val="2"/>
      </rPr>
      <t xml:space="preserve">판매처 </t>
    </r>
    <r>
      <rPr>
        <sz val="12"/>
        <color theme="1"/>
        <rFont val="Calibri"/>
        <family val="2"/>
        <charset val="1"/>
      </rPr>
      <t xml:space="preserve">11</t>
    </r>
    <r>
      <rPr>
        <sz val="12"/>
        <color theme="1"/>
        <rFont val="PingFang SC"/>
        <family val="2"/>
      </rPr>
      <t xml:space="preserve">곳</t>
    </r>
  </si>
  <si>
    <t xml:space="preserve">학교 주문 배송비</t>
  </si>
  <si>
    <r>
      <rPr>
        <sz val="12"/>
        <color theme="1"/>
        <rFont val="PingFang SC"/>
        <family val="2"/>
      </rPr>
      <t xml:space="preserve">학교가 냄 </t>
    </r>
    <r>
      <rPr>
        <sz val="12"/>
        <color theme="1"/>
        <rFont val="Calibri"/>
        <family val="2"/>
        <charset val="1"/>
      </rPr>
      <t xml:space="preserve">(20</t>
    </r>
    <r>
      <rPr>
        <sz val="12"/>
        <color theme="1"/>
        <rFont val="PingFang SC"/>
        <family val="2"/>
      </rPr>
      <t xml:space="preserve">만 원 한도에 넣지 않음</t>
    </r>
    <r>
      <rPr>
        <sz val="12"/>
        <color theme="1"/>
        <rFont val="Calibri"/>
        <family val="2"/>
        <charset val="1"/>
      </rPr>
      <t xml:space="preserve">)</t>
    </r>
  </si>
  <si>
    <t xml:space="preserve">사비 구매</t>
  </si>
  <si>
    <r>
      <rPr>
        <sz val="12"/>
        <color theme="1"/>
        <rFont val="PingFang SC"/>
        <family val="2"/>
      </rPr>
      <t xml:space="preserve">물건값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PingFang SC"/>
        <family val="2"/>
      </rPr>
      <t xml:space="preserve">배송비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판매처 </t>
    </r>
    <r>
      <rPr>
        <sz val="12"/>
        <color theme="1"/>
        <rFont val="Calibri"/>
        <family val="2"/>
        <charset val="1"/>
      </rPr>
      <t xml:space="preserve">11</t>
    </r>
    <r>
      <rPr>
        <sz val="12"/>
        <color theme="1"/>
        <rFont val="PingFang SC"/>
        <family val="2"/>
      </rPr>
      <t xml:space="preserve">곳</t>
    </r>
  </si>
  <si>
    <t xml:space="preserve">합계</t>
  </si>
  <si>
    <r>
      <rPr>
        <sz val="12"/>
        <color theme="1"/>
        <rFont val="Calibri"/>
        <family val="2"/>
        <charset val="1"/>
      </rPr>
      <t xml:space="preserve">VAT </t>
    </r>
    <r>
      <rPr>
        <sz val="12"/>
        <color theme="1"/>
        <rFont val="PingFang SC"/>
        <family val="2"/>
      </rPr>
      <t xml:space="preserve">포함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배송비 포함</t>
    </r>
  </si>
  <si>
    <r>
      <rPr>
        <sz val="12"/>
        <color theme="1"/>
        <rFont val="Calibri"/>
        <family val="2"/>
        <charset val="1"/>
      </rPr>
      <t xml:space="preserve">2026-10-08 · Toccata </t>
    </r>
    <r>
      <rPr>
        <sz val="12"/>
        <color theme="1"/>
        <rFont val="PingFang SC"/>
        <family val="2"/>
      </rPr>
      <t xml:space="preserve">최종 재료 페이지 </t>
    </r>
    <r>
      <rPr>
        <sz val="12"/>
        <color theme="1"/>
        <rFont val="Calibri"/>
        <family val="2"/>
        <charset val="1"/>
      </rPr>
      <t xml:space="preserve">https://claude.ai/artifact/9CJ3HwhbhoodCAui94g28n </t>
    </r>
    <r>
      <rPr>
        <sz val="12"/>
        <color theme="1"/>
        <rFont val="PingFang SC"/>
        <family val="2"/>
      </rPr>
      <t xml:space="preserve">에서 고른 그대로 </t>
    </r>
    <r>
      <rPr>
        <sz val="12"/>
        <color theme="1"/>
        <rFont val="Calibri"/>
        <family val="2"/>
        <charset val="1"/>
      </rPr>
      <t xml:space="preserve">· </t>
    </r>
    <r>
      <rPr>
        <sz val="12"/>
        <color theme="1"/>
        <rFont val="PingFang SC"/>
        <family val="2"/>
      </rPr>
      <t xml:space="preserve">가격은 주문 전에 다시 확인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</si>
</sst>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PingFang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18076669" TargetMode="External"/><Relationship Id="rId2" Type="http://schemas.openxmlformats.org/officeDocument/2006/relationships/hyperlink" Target="https://www.icbanq.com/P016358529" TargetMode="External"/><Relationship Id="rId3" Type="http://schemas.openxmlformats.org/officeDocument/2006/relationships/hyperlink" Target="https://www.icbanq.com/P014968846" TargetMode="External"/><Relationship Id="rId4" Type="http://schemas.openxmlformats.org/officeDocument/2006/relationships/hyperlink" Target="https://www.icbanq.com/P015973844" TargetMode="External"/><Relationship Id="rId5" Type="http://schemas.openxmlformats.org/officeDocument/2006/relationships/hyperlink" Target="https://www.icbanq.com/P015971543" TargetMode="External"/><Relationship Id="rId6" Type="http://schemas.openxmlformats.org/officeDocument/2006/relationships/hyperlink" Target="https://www.icbanq.com/P014159115" TargetMode="External"/><Relationship Id="rId7" Type="http://schemas.openxmlformats.org/officeDocument/2006/relationships/hyperlink" Target="https://www.icbanq.com/P011433924" TargetMode="External"/><Relationship Id="rId8" Type="http://schemas.openxmlformats.org/officeDocument/2006/relationships/hyperlink" Target="https://www.coupang.com/vp/products/169628214?vendorItemId=90711442678" TargetMode="External"/><Relationship Id="rId9" Type="http://schemas.openxmlformats.org/officeDocument/2006/relationships/hyperlink" Target="https://www.coupang.com/vp/products/7589411879?vendorItemId=87148299583" TargetMode="External"/><Relationship Id="rId10" Type="http://schemas.openxmlformats.org/officeDocument/2006/relationships/hyperlink" Target="https://www.coupang.com/vp/products/181380607?vendorItemId=4341984346" TargetMode="External"/><Relationship Id="rId11" Type="http://schemas.openxmlformats.org/officeDocument/2006/relationships/hyperlink" Target="https://www.coupang.com/vp/products/7839505281?vendorItemId=90922897918" TargetMode="External"/><Relationship Id="rId12" Type="http://schemas.openxmlformats.org/officeDocument/2006/relationships/hyperlink" Target="https://www.eleparts.co.kr/goods/view?no=2675965" TargetMode="External"/><Relationship Id="rId13" Type="http://schemas.openxmlformats.org/officeDocument/2006/relationships/hyperlink" Target="https://www.eleparts.co.kr/goods/view?no=425" TargetMode="External"/><Relationship Id="rId14" Type="http://schemas.openxmlformats.org/officeDocument/2006/relationships/hyperlink" Target="https://www.eleparts.co.kr/goods/view?no=2925651" TargetMode="External"/><Relationship Id="rId15" Type="http://schemas.openxmlformats.org/officeDocument/2006/relationships/hyperlink" Target="https://www.eleparts.co.kr/goods/view?no=2925651" TargetMode="External"/><Relationship Id="rId16" Type="http://schemas.openxmlformats.org/officeDocument/2006/relationships/hyperlink" Target="https://www.eleparts.co.kr/goods/view?no=425" TargetMode="External"/><Relationship Id="rId17" Type="http://schemas.openxmlformats.org/officeDocument/2006/relationships/hyperlink" Target="https://www.eleparts.co.kr/goods/view?no=12816289" TargetMode="External"/><Relationship Id="rId18" Type="http://schemas.openxmlformats.org/officeDocument/2006/relationships/hyperlink" Target="https://www.coupang.com/vp/products/130058387?vendorItemId=3929147929" TargetMode="External"/><Relationship Id="rId19" Type="http://schemas.openxmlformats.org/officeDocument/2006/relationships/hyperlink" Target="https://www.coupang.com/vp/products/6627385385?vendorItemId=82316320569" TargetMode="External"/><Relationship Id="rId20" Type="http://schemas.openxmlformats.org/officeDocument/2006/relationships/hyperlink" Target="https://www.coupang.com/vp/products/7575965502?vendorItemId=87087416424" TargetMode="External"/><Relationship Id="rId21" Type="http://schemas.openxmlformats.org/officeDocument/2006/relationships/hyperlink" Target="https://www.coupang.com/vp/products/7575965502?vendorItemId=87087416424" TargetMode="External"/><Relationship Id="rId22" Type="http://schemas.openxmlformats.org/officeDocument/2006/relationships/hyperlink" Target="https://www.devicemart.co.kr/goods/view?no=16080883" TargetMode="External"/><Relationship Id="rId23" Type="http://schemas.openxmlformats.org/officeDocument/2006/relationships/hyperlink" Target="https://www.devicemart.co.kr/goods/view?no=10912779" TargetMode="External"/><Relationship Id="rId24" Type="http://schemas.openxmlformats.org/officeDocument/2006/relationships/hyperlink" Target="https://www.devicemart.co.kr/goods/view?no=10912479" TargetMode="External"/><Relationship Id="rId25" Type="http://schemas.openxmlformats.org/officeDocument/2006/relationships/hyperlink" Target="https://www.devicemart.co.kr/goods/view?no=10912781" TargetMode="External"/><Relationship Id="rId26" Type="http://schemas.openxmlformats.org/officeDocument/2006/relationships/hyperlink" Target="https://www.devicemart.co.kr/goods/view?no=2674" TargetMode="External"/><Relationship Id="rId27" Type="http://schemas.openxmlformats.org/officeDocument/2006/relationships/hyperlink" Target="https://www.devicemart.co.kr/goods/view?no=10911806" TargetMode="External"/><Relationship Id="rId28" Type="http://schemas.openxmlformats.org/officeDocument/2006/relationships/hyperlink" Target="https://www.devicemart.co.kr/goods/view?no=10912759" TargetMode="External"/><Relationship Id="rId29" Type="http://schemas.openxmlformats.org/officeDocument/2006/relationships/hyperlink" Target="https://www.coupang.com/vp/products/8243268767?vendorItemId=90747166966" TargetMode="External"/><Relationship Id="rId3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llsteelshop.com/product/squareplate/9t" TargetMode="External"/><Relationship Id="rId2" Type="http://schemas.openxmlformats.org/officeDocument/2006/relationships/hyperlink" Target="https://kr.misumi-ec.com/vona2/detail/110310556289/?HissuCode=C-UA90R5-3-0.5" TargetMode="External"/><Relationship Id="rId3" Type="http://schemas.openxmlformats.org/officeDocument/2006/relationships/hyperlink" Target="https://parts-parts.co.kr/product/detail.html?product_no=2383" TargetMode="External"/><Relationship Id="rId4" Type="http://schemas.openxmlformats.org/officeDocument/2006/relationships/hyperlink" Target="https://parts-parts.co.kr/product/detail.html?product_no=303" TargetMode="External"/><Relationship Id="rId5" Type="http://schemas.openxmlformats.org/officeDocument/2006/relationships/hyperlink" Target="https://www.navimro.com/g/1029233/" TargetMode="External"/><Relationship Id="rId6" Type="http://schemas.openxmlformats.org/officeDocument/2006/relationships/hyperlink" Target="https://www.navimro.com/g/395062/" TargetMode="External"/><Relationship Id="rId7" Type="http://schemas.openxmlformats.org/officeDocument/2006/relationships/hyperlink" Target="https://www.navimro.com/g/1028764/" TargetMode="External"/><Relationship Id="rId8" Type="http://schemas.openxmlformats.org/officeDocument/2006/relationships/hyperlink" Target="https://www.navimro.com/g/37021/" TargetMode="External"/><Relationship Id="rId9" Type="http://schemas.openxmlformats.org/officeDocument/2006/relationships/hyperlink" Target="https://www.nasakorea.com/goods/goods_view.php?goodsNo=6009" TargetMode="External"/><Relationship Id="rId10" Type="http://schemas.openxmlformats.org/officeDocument/2006/relationships/hyperlink" Target="https://nasakorea.com/goods/goods_view.php?goodsNo=6090" TargetMode="External"/><Relationship Id="rId11" Type="http://schemas.openxmlformats.org/officeDocument/2006/relationships/hyperlink" Target="https://namugongjang.com/product/detail.html?product_no=1378" TargetMode="External"/><Relationship Id="rId12" Type="http://schemas.openxmlformats.org/officeDocument/2006/relationships/hyperlink" Target="https://studiobunt.com/product/detail.html?product_no=4117" TargetMode="External"/><Relationship Id="rId13" Type="http://schemas.openxmlformats.org/officeDocument/2006/relationships/hyperlink" Target="https://www.11st.co.kr/products/9579455646" TargetMode="External"/><Relationship Id="rId14" Type="http://schemas.openxmlformats.org/officeDocument/2006/relationships/hyperlink" Target="https://www.11st.co.kr/products/7591566666" TargetMode="External"/><Relationship Id="rId15" Type="http://schemas.openxmlformats.org/officeDocument/2006/relationships/hyperlink" Target="https://www.11st.co.kr/products/8517880969" TargetMode="External"/><Relationship Id="rId16" Type="http://schemas.openxmlformats.org/officeDocument/2006/relationships/hyperlink" Target="https://dgmagnet.com/product/&#52488;&#44053;&#47141;-&#45348;&#50724;&#46356;&#50880;-&#50896;&#54805;&#51088;&#49437;-5mm/13/" TargetMode="External"/><Relationship Id="rId17" Type="http://schemas.openxmlformats.org/officeDocument/2006/relationships/hyperlink" Target="https://www.coupang.com/vp/products/8826157891?vendorItemId=92708146513" TargetMode="External"/><Relationship Id="rId18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46.84"/>
    <col collapsed="false" customWidth="true" hidden="false" outlineLevel="0" max="2" min="2" style="0" width="10.84"/>
    <col collapsed="false" customWidth="true" hidden="false" outlineLevel="0" max="3" min="3" style="0" width="6.84"/>
    <col collapsed="false" customWidth="true" hidden="false" outlineLevel="0" max="4" min="4" style="0" width="12.83"/>
    <col collapsed="false" customWidth="true" hidden="false" outlineLevel="0" max="5" min="5" style="0" width="30.84"/>
    <col collapsed="false" customWidth="true" hidden="false" outlineLevel="0" max="6" min="6" style="0" width="70.84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9" hidden="false" customHeight="false" outlineLevel="0" collapsed="false">
      <c r="A2" s="1" t="s">
        <v>6</v>
      </c>
      <c r="B2" s="2" t="n">
        <v>891</v>
      </c>
      <c r="C2" s="2" t="n">
        <v>100</v>
      </c>
      <c r="D2" s="2" t="n">
        <f aca="false">B2*C2</f>
        <v>89100</v>
      </c>
      <c r="E2" s="1" t="s">
        <v>7</v>
      </c>
      <c r="F2" s="0" t="s">
        <v>8</v>
      </c>
    </row>
    <row r="3" customFormat="false" ht="17.9" hidden="false" customHeight="false" outlineLevel="0" collapsed="false">
      <c r="A3" s="0" t="s">
        <v>9</v>
      </c>
      <c r="B3" s="2" t="n">
        <v>2200</v>
      </c>
      <c r="C3" s="2" t="n">
        <v>2</v>
      </c>
      <c r="D3" s="2" t="n">
        <f aca="false">B3*C3</f>
        <v>4400</v>
      </c>
      <c r="E3" s="1" t="s">
        <v>7</v>
      </c>
      <c r="F3" s="0" t="s">
        <v>10</v>
      </c>
    </row>
    <row r="4" customFormat="false" ht="17.9" hidden="false" customHeight="false" outlineLevel="0" collapsed="false">
      <c r="A4" s="0" t="s">
        <v>11</v>
      </c>
      <c r="B4" s="2" t="n">
        <v>44</v>
      </c>
      <c r="C4" s="2" t="n">
        <v>97</v>
      </c>
      <c r="D4" s="2" t="n">
        <f aca="false">B4*C4</f>
        <v>4268</v>
      </c>
      <c r="E4" s="1" t="s">
        <v>7</v>
      </c>
      <c r="F4" s="0" t="s">
        <v>12</v>
      </c>
    </row>
    <row r="5" customFormat="false" ht="17.9" hidden="false" customHeight="false" outlineLevel="0" collapsed="false">
      <c r="A5" s="1" t="s">
        <v>13</v>
      </c>
      <c r="B5" s="2" t="n">
        <v>11</v>
      </c>
      <c r="C5" s="2" t="n">
        <v>100</v>
      </c>
      <c r="D5" s="2" t="n">
        <f aca="false">B5*C5</f>
        <v>1100</v>
      </c>
      <c r="E5" s="1" t="s">
        <v>7</v>
      </c>
      <c r="F5" s="0" t="s">
        <v>14</v>
      </c>
    </row>
    <row r="6" customFormat="false" ht="17.9" hidden="false" customHeight="false" outlineLevel="0" collapsed="false">
      <c r="A6" s="1" t="s">
        <v>15</v>
      </c>
      <c r="B6" s="2" t="n">
        <v>11</v>
      </c>
      <c r="C6" s="2" t="n">
        <v>50</v>
      </c>
      <c r="D6" s="2" t="n">
        <f aca="false">B6*C6</f>
        <v>550</v>
      </c>
      <c r="E6" s="1" t="s">
        <v>7</v>
      </c>
      <c r="F6" s="0" t="s">
        <v>16</v>
      </c>
    </row>
    <row r="7" customFormat="false" ht="17.9" hidden="false" customHeight="false" outlineLevel="0" collapsed="false">
      <c r="A7" s="0" t="s">
        <v>17</v>
      </c>
      <c r="B7" s="2" t="n">
        <v>133</v>
      </c>
      <c r="C7" s="2" t="n">
        <v>4</v>
      </c>
      <c r="D7" s="2" t="n">
        <f aca="false">B7*C7</f>
        <v>532</v>
      </c>
      <c r="E7" s="1" t="s">
        <v>7</v>
      </c>
      <c r="F7" s="0" t="s">
        <v>18</v>
      </c>
    </row>
    <row r="8" customFormat="false" ht="17.9" hidden="false" customHeight="false" outlineLevel="0" collapsed="false">
      <c r="A8" s="0" t="s">
        <v>19</v>
      </c>
      <c r="B8" s="2" t="n">
        <v>44</v>
      </c>
      <c r="C8" s="2" t="n">
        <v>10</v>
      </c>
      <c r="D8" s="2" t="n">
        <f aca="false">B8*C8</f>
        <v>440</v>
      </c>
      <c r="E8" s="1" t="s">
        <v>7</v>
      </c>
      <c r="F8" s="0" t="s">
        <v>20</v>
      </c>
    </row>
    <row r="9" customFormat="false" ht="17.9" hidden="false" customHeight="false" outlineLevel="0" collapsed="false">
      <c r="A9" s="0" t="s">
        <v>21</v>
      </c>
      <c r="B9" s="2" t="n">
        <v>14260</v>
      </c>
      <c r="C9" s="2" t="n">
        <v>1</v>
      </c>
      <c r="D9" s="2" t="n">
        <f aca="false">B9*C9</f>
        <v>14260</v>
      </c>
      <c r="E9" s="1" t="s">
        <v>22</v>
      </c>
      <c r="F9" s="0" t="s">
        <v>23</v>
      </c>
    </row>
    <row r="10" customFormat="false" ht="17.9" hidden="false" customHeight="false" outlineLevel="0" collapsed="false">
      <c r="A10" s="1" t="s">
        <v>24</v>
      </c>
      <c r="B10" s="2" t="n">
        <v>3890</v>
      </c>
      <c r="C10" s="2" t="n">
        <v>1</v>
      </c>
      <c r="D10" s="2" t="n">
        <f aca="false">B10*C10</f>
        <v>3890</v>
      </c>
      <c r="E10" s="1" t="s">
        <v>22</v>
      </c>
      <c r="F10" s="0" t="s">
        <v>25</v>
      </c>
    </row>
    <row r="11" customFormat="false" ht="17.9" hidden="false" customHeight="false" outlineLevel="0" collapsed="false">
      <c r="A11" s="1" t="s">
        <v>26</v>
      </c>
      <c r="B11" s="2" t="n">
        <v>8500</v>
      </c>
      <c r="C11" s="2" t="n">
        <v>2</v>
      </c>
      <c r="D11" s="2" t="n">
        <f aca="false">B11*C11</f>
        <v>17000</v>
      </c>
      <c r="E11" s="1" t="s">
        <v>27</v>
      </c>
      <c r="F11" s="0" t="s">
        <v>28</v>
      </c>
    </row>
    <row r="12" customFormat="false" ht="17.9" hidden="false" customHeight="false" outlineLevel="0" collapsed="false">
      <c r="A12" s="1" t="s">
        <v>29</v>
      </c>
      <c r="B12" s="2" t="n">
        <v>8000</v>
      </c>
      <c r="C12" s="2" t="n">
        <v>2</v>
      </c>
      <c r="D12" s="2" t="n">
        <f aca="false">B12*C12</f>
        <v>16000</v>
      </c>
      <c r="E12" s="1" t="s">
        <v>30</v>
      </c>
      <c r="F12" s="0" t="s">
        <v>31</v>
      </c>
    </row>
    <row r="13" customFormat="false" ht="17.9" hidden="false" customHeight="false" outlineLevel="0" collapsed="false">
      <c r="A13" s="0" t="s">
        <v>32</v>
      </c>
      <c r="B13" s="2" t="n">
        <v>253</v>
      </c>
      <c r="C13" s="2" t="n">
        <v>16</v>
      </c>
      <c r="D13" s="2" t="n">
        <f aca="false">B13*C13</f>
        <v>4048</v>
      </c>
      <c r="E13" s="1" t="s">
        <v>33</v>
      </c>
      <c r="F13" s="0" t="s">
        <v>34</v>
      </c>
    </row>
    <row r="14" customFormat="false" ht="17.9" hidden="false" customHeight="false" outlineLevel="0" collapsed="false">
      <c r="A14" s="0" t="s">
        <v>35</v>
      </c>
      <c r="B14" s="2" t="n">
        <v>1529</v>
      </c>
      <c r="C14" s="2" t="n">
        <v>2</v>
      </c>
      <c r="D14" s="2" t="n">
        <f aca="false">B14*C14</f>
        <v>3058</v>
      </c>
      <c r="E14" s="1" t="s">
        <v>33</v>
      </c>
      <c r="F14" s="0" t="s">
        <v>36</v>
      </c>
    </row>
    <row r="15" customFormat="false" ht="17.9" hidden="false" customHeight="false" outlineLevel="0" collapsed="false">
      <c r="A15" s="0" t="s">
        <v>37</v>
      </c>
      <c r="B15" s="2" t="n">
        <v>2550</v>
      </c>
      <c r="C15" s="2" t="n">
        <v>1</v>
      </c>
      <c r="D15" s="2" t="n">
        <f aca="false">B15*C15</f>
        <v>2550</v>
      </c>
      <c r="E15" s="1" t="s">
        <v>33</v>
      </c>
      <c r="F15" s="0" t="s">
        <v>38</v>
      </c>
    </row>
    <row r="16" customFormat="false" ht="17.9" hidden="false" customHeight="false" outlineLevel="0" collapsed="false">
      <c r="A16" s="0" t="s">
        <v>39</v>
      </c>
      <c r="B16" s="2" t="n">
        <v>2550</v>
      </c>
      <c r="C16" s="2" t="n">
        <v>1</v>
      </c>
      <c r="D16" s="2" t="n">
        <f aca="false">B16*C16</f>
        <v>2550</v>
      </c>
      <c r="E16" s="1" t="s">
        <v>33</v>
      </c>
      <c r="F16" s="0" t="s">
        <v>38</v>
      </c>
    </row>
    <row r="17" customFormat="false" ht="17.9" hidden="false" customHeight="false" outlineLevel="0" collapsed="false">
      <c r="A17" s="0" t="s">
        <v>40</v>
      </c>
      <c r="B17" s="2" t="n">
        <v>1529</v>
      </c>
      <c r="C17" s="2" t="n">
        <v>1</v>
      </c>
      <c r="D17" s="2" t="n">
        <f aca="false">B17*C17</f>
        <v>1529</v>
      </c>
      <c r="E17" s="1" t="s">
        <v>33</v>
      </c>
      <c r="F17" s="0" t="s">
        <v>36</v>
      </c>
    </row>
    <row r="18" customFormat="false" ht="17.9" hidden="false" customHeight="false" outlineLevel="0" collapsed="false">
      <c r="A18" s="1" t="s">
        <v>41</v>
      </c>
      <c r="B18" s="2" t="n">
        <v>863</v>
      </c>
      <c r="C18" s="2" t="n">
        <v>1</v>
      </c>
      <c r="D18" s="2" t="n">
        <f aca="false">B18*C18</f>
        <v>863</v>
      </c>
      <c r="E18" s="1" t="s">
        <v>33</v>
      </c>
      <c r="F18" s="0" t="s">
        <v>42</v>
      </c>
    </row>
    <row r="19" customFormat="false" ht="17.9" hidden="false" customHeight="false" outlineLevel="0" collapsed="false">
      <c r="A19" s="1" t="s">
        <v>43</v>
      </c>
      <c r="B19" s="2" t="n">
        <v>433</v>
      </c>
      <c r="C19" s="2" t="n">
        <v>20</v>
      </c>
      <c r="D19" s="2" t="n">
        <f aca="false">B19*C19</f>
        <v>8660</v>
      </c>
      <c r="E19" s="1" t="s">
        <v>44</v>
      </c>
      <c r="F19" s="0" t="s">
        <v>45</v>
      </c>
    </row>
    <row r="20" customFormat="false" ht="17.9" hidden="false" customHeight="false" outlineLevel="0" collapsed="false">
      <c r="A20" s="1" t="s">
        <v>46</v>
      </c>
      <c r="B20" s="2" t="n">
        <v>6900</v>
      </c>
      <c r="C20" s="2" t="n">
        <v>1</v>
      </c>
      <c r="D20" s="2" t="n">
        <f aca="false">B20*C20</f>
        <v>6900</v>
      </c>
      <c r="E20" s="1" t="s">
        <v>47</v>
      </c>
      <c r="F20" s="0" t="s">
        <v>48</v>
      </c>
    </row>
    <row r="21" customFormat="false" ht="17.9" hidden="false" customHeight="false" outlineLevel="0" collapsed="false">
      <c r="A21" s="0" t="s">
        <v>49</v>
      </c>
      <c r="B21" s="2" t="n">
        <v>1500</v>
      </c>
      <c r="C21" s="2" t="n">
        <v>2</v>
      </c>
      <c r="D21" s="2" t="n">
        <f aca="false">B21*C21</f>
        <v>3000</v>
      </c>
      <c r="E21" s="1" t="s">
        <v>50</v>
      </c>
      <c r="F21" s="0" t="s">
        <v>51</v>
      </c>
    </row>
    <row r="22" customFormat="false" ht="17.9" hidden="false" customHeight="false" outlineLevel="0" collapsed="false">
      <c r="A22" s="0" t="s">
        <v>52</v>
      </c>
      <c r="B22" s="2" t="n">
        <v>1500</v>
      </c>
      <c r="C22" s="2" t="n">
        <v>2</v>
      </c>
      <c r="D22" s="2" t="n">
        <f aca="false">B22*C22</f>
        <v>3000</v>
      </c>
      <c r="E22" s="1" t="s">
        <v>50</v>
      </c>
      <c r="F22" s="0" t="s">
        <v>51</v>
      </c>
    </row>
    <row r="23" customFormat="false" ht="17.9" hidden="false" customHeight="false" outlineLevel="0" collapsed="false">
      <c r="A23" s="0" t="s">
        <v>53</v>
      </c>
      <c r="B23" s="2" t="n">
        <v>5500</v>
      </c>
      <c r="C23" s="2" t="n">
        <v>1</v>
      </c>
      <c r="D23" s="2" t="n">
        <f aca="false">B23*C23</f>
        <v>5500</v>
      </c>
      <c r="E23" s="1" t="s">
        <v>54</v>
      </c>
      <c r="F23" s="0" t="s">
        <v>55</v>
      </c>
    </row>
    <row r="24" customFormat="false" ht="17.9" hidden="false" customHeight="false" outlineLevel="0" collapsed="false">
      <c r="A24" s="1" t="s">
        <v>56</v>
      </c>
      <c r="B24" s="2" t="n">
        <v>66</v>
      </c>
      <c r="C24" s="2" t="n">
        <v>20</v>
      </c>
      <c r="D24" s="2" t="n">
        <f aca="false">B24*C24</f>
        <v>1320</v>
      </c>
      <c r="E24" s="1" t="s">
        <v>57</v>
      </c>
      <c r="F24" s="0" t="s">
        <v>58</v>
      </c>
    </row>
    <row r="25" customFormat="false" ht="17.9" hidden="false" customHeight="false" outlineLevel="0" collapsed="false">
      <c r="A25" s="1" t="s">
        <v>59</v>
      </c>
      <c r="B25" s="2" t="n">
        <v>66</v>
      </c>
      <c r="C25" s="2" t="n">
        <v>10</v>
      </c>
      <c r="D25" s="2" t="n">
        <f aca="false">B25*C25</f>
        <v>660</v>
      </c>
      <c r="E25" s="1" t="s">
        <v>57</v>
      </c>
      <c r="F25" s="0" t="s">
        <v>60</v>
      </c>
    </row>
    <row r="26" customFormat="false" ht="17.9" hidden="false" customHeight="false" outlineLevel="0" collapsed="false">
      <c r="A26" s="1" t="s">
        <v>61</v>
      </c>
      <c r="B26" s="2" t="n">
        <v>55</v>
      </c>
      <c r="C26" s="2" t="n">
        <v>10</v>
      </c>
      <c r="D26" s="2" t="n">
        <f aca="false">B26*C26</f>
        <v>550</v>
      </c>
      <c r="E26" s="1" t="s">
        <v>57</v>
      </c>
      <c r="F26" s="0" t="s">
        <v>62</v>
      </c>
    </row>
    <row r="27" customFormat="false" ht="17.9" hidden="false" customHeight="false" outlineLevel="0" collapsed="false">
      <c r="A27" s="0" t="s">
        <v>63</v>
      </c>
      <c r="B27" s="2" t="n">
        <v>154</v>
      </c>
      <c r="C27" s="2" t="n">
        <v>3</v>
      </c>
      <c r="D27" s="2" t="n">
        <f aca="false">B27*C27</f>
        <v>462</v>
      </c>
      <c r="E27" s="1" t="s">
        <v>57</v>
      </c>
      <c r="F27" s="0" t="s">
        <v>64</v>
      </c>
    </row>
    <row r="28" customFormat="false" ht="17.9" hidden="false" customHeight="false" outlineLevel="0" collapsed="false">
      <c r="A28" s="1" t="s">
        <v>65</v>
      </c>
      <c r="B28" s="2" t="n">
        <v>44</v>
      </c>
      <c r="C28" s="2" t="n">
        <v>10</v>
      </c>
      <c r="D28" s="2" t="n">
        <f aca="false">B28*C28</f>
        <v>440</v>
      </c>
      <c r="E28" s="1" t="s">
        <v>57</v>
      </c>
      <c r="F28" s="0" t="s">
        <v>66</v>
      </c>
    </row>
    <row r="29" customFormat="false" ht="17.9" hidden="false" customHeight="false" outlineLevel="0" collapsed="false">
      <c r="A29" s="1" t="s">
        <v>67</v>
      </c>
      <c r="B29" s="2" t="n">
        <v>33</v>
      </c>
      <c r="C29" s="2" t="n">
        <v>10</v>
      </c>
      <c r="D29" s="2" t="n">
        <f aca="false">B29*C29</f>
        <v>330</v>
      </c>
      <c r="E29" s="1" t="s">
        <v>57</v>
      </c>
      <c r="F29" s="0" t="s">
        <v>68</v>
      </c>
    </row>
    <row r="30" customFormat="false" ht="17.9" hidden="false" customHeight="false" outlineLevel="0" collapsed="false">
      <c r="A30" s="1" t="s">
        <v>69</v>
      </c>
      <c r="B30" s="2" t="n">
        <v>3000</v>
      </c>
      <c r="C30" s="2" t="n">
        <v>1</v>
      </c>
      <c r="D30" s="2" t="n">
        <f aca="false">B30*C30</f>
        <v>3000</v>
      </c>
      <c r="E30" s="1" t="s">
        <v>70</v>
      </c>
      <c r="F30" s="0" t="s">
        <v>71</v>
      </c>
    </row>
    <row r="31" customFormat="false" ht="17.9" hidden="false" customHeight="false" outlineLevel="0" collapsed="false">
      <c r="A31" s="1" t="s">
        <v>72</v>
      </c>
      <c r="D31" s="2" t="n">
        <f aca="false">SUM(D2:D30)</f>
        <v>199960</v>
      </c>
    </row>
    <row r="32" customFormat="false" ht="15" hidden="false" customHeight="false" outlineLevel="0" collapsed="false"/>
    <row r="33" customFormat="false" ht="17.9" hidden="false" customHeight="false" outlineLevel="0" collapsed="false">
      <c r="A33" s="1" t="s">
        <v>73</v>
      </c>
      <c r="B33" s="2" t="n">
        <v>4000</v>
      </c>
      <c r="C33" s="2" t="n">
        <v>1</v>
      </c>
      <c r="D33" s="2" t="n">
        <f aca="false">B33*C33</f>
        <v>4000</v>
      </c>
      <c r="E33" s="1" t="s">
        <v>27</v>
      </c>
    </row>
    <row r="34" customFormat="false" ht="17.9" hidden="false" customHeight="false" outlineLevel="0" collapsed="false">
      <c r="A34" s="1" t="s">
        <v>74</v>
      </c>
      <c r="B34" s="2" t="n">
        <v>3000</v>
      </c>
      <c r="C34" s="2" t="n">
        <v>1</v>
      </c>
      <c r="D34" s="2" t="n">
        <f aca="false">B34*C34</f>
        <v>3000</v>
      </c>
      <c r="E34" s="1" t="s">
        <v>30</v>
      </c>
    </row>
    <row r="35" customFormat="false" ht="17.9" hidden="false" customHeight="false" outlineLevel="0" collapsed="false">
      <c r="A35" s="1" t="s">
        <v>75</v>
      </c>
      <c r="B35" s="2" t="n">
        <v>3000</v>
      </c>
      <c r="C35" s="2" t="n">
        <v>1</v>
      </c>
      <c r="D35" s="2" t="n">
        <f aca="false">B35*C35</f>
        <v>3000</v>
      </c>
      <c r="E35" s="1" t="s">
        <v>33</v>
      </c>
    </row>
    <row r="36" customFormat="false" ht="17.9" hidden="false" customHeight="false" outlineLevel="0" collapsed="false">
      <c r="A36" s="1" t="s">
        <v>76</v>
      </c>
      <c r="B36" s="2" t="n">
        <v>3000</v>
      </c>
      <c r="C36" s="2" t="n">
        <v>1</v>
      </c>
      <c r="D36" s="2" t="n">
        <f aca="false">B36*C36</f>
        <v>3000</v>
      </c>
      <c r="E36" s="1" t="s">
        <v>44</v>
      </c>
    </row>
    <row r="37" customFormat="false" ht="17.9" hidden="false" customHeight="false" outlineLevel="0" collapsed="false">
      <c r="A37" s="1" t="s">
        <v>77</v>
      </c>
      <c r="B37" s="2" t="n">
        <v>3000</v>
      </c>
      <c r="C37" s="2" t="n">
        <v>1</v>
      </c>
      <c r="D37" s="2" t="n">
        <f aca="false">B37*C37</f>
        <v>3000</v>
      </c>
      <c r="E37" s="1" t="s">
        <v>47</v>
      </c>
    </row>
    <row r="38" customFormat="false" ht="17.9" hidden="false" customHeight="false" outlineLevel="0" collapsed="false">
      <c r="A38" s="1" t="s">
        <v>78</v>
      </c>
      <c r="B38" s="2" t="n">
        <v>3500</v>
      </c>
      <c r="C38" s="2" t="n">
        <v>1</v>
      </c>
      <c r="D38" s="2" t="n">
        <f aca="false">B38*C38</f>
        <v>3500</v>
      </c>
      <c r="E38" s="1" t="s">
        <v>50</v>
      </c>
    </row>
    <row r="39" customFormat="false" ht="17.9" hidden="false" customHeight="false" outlineLevel="0" collapsed="false">
      <c r="A39" s="1" t="s">
        <v>79</v>
      </c>
      <c r="B39" s="2" t="n">
        <v>3500</v>
      </c>
      <c r="C39" s="2" t="n">
        <v>1</v>
      </c>
      <c r="D39" s="2" t="n">
        <f aca="false">B39*C39</f>
        <v>3500</v>
      </c>
      <c r="E39" s="1" t="s">
        <v>54</v>
      </c>
    </row>
    <row r="40" customFormat="false" ht="17.9" hidden="false" customHeight="false" outlineLevel="0" collapsed="false">
      <c r="A40" s="1" t="s">
        <v>80</v>
      </c>
      <c r="B40" s="2" t="n">
        <v>2700</v>
      </c>
      <c r="C40" s="2" t="n">
        <v>1</v>
      </c>
      <c r="D40" s="2" t="n">
        <f aca="false">B40*C40</f>
        <v>2700</v>
      </c>
      <c r="E40" s="1" t="s">
        <v>57</v>
      </c>
    </row>
    <row r="41" customFormat="false" ht="17.9" hidden="false" customHeight="false" outlineLevel="0" collapsed="false">
      <c r="A41" s="1" t="s">
        <v>81</v>
      </c>
      <c r="B41" s="2" t="n">
        <v>3000</v>
      </c>
      <c r="C41" s="2" t="n">
        <v>1</v>
      </c>
      <c r="D41" s="2" t="n">
        <f aca="false">B41*C41</f>
        <v>3000</v>
      </c>
      <c r="E41" s="1" t="s">
        <v>70</v>
      </c>
    </row>
    <row r="42" customFormat="false" ht="17.9" hidden="false" customHeight="false" outlineLevel="0" collapsed="false">
      <c r="A42" s="1" t="s">
        <v>82</v>
      </c>
      <c r="D42" s="2" t="n">
        <f aca="false">SUM(D33:D41)</f>
        <v>28700</v>
      </c>
    </row>
    <row r="43" customFormat="false" ht="17.9" hidden="false" customHeight="false" outlineLevel="0" collapsed="false">
      <c r="A43" s="1" t="s">
        <v>83</v>
      </c>
      <c r="D43" s="2" t="n">
        <f aca="false">D31+D42</f>
        <v>228660</v>
      </c>
    </row>
  </sheetData>
  <autoFilter ref="A1:F30"/>
  <hyperlinks>
    <hyperlink ref="F2" r:id="rId1" display="https://www.icbanq.com/P018076669"/>
    <hyperlink ref="F3" r:id="rId2" display="https://www.icbanq.com/P016358529"/>
    <hyperlink ref="F4" r:id="rId3" display="https://www.icbanq.com/P014968846"/>
    <hyperlink ref="F5" r:id="rId4" display="https://www.icbanq.com/P015973844"/>
    <hyperlink ref="F6" r:id="rId5" display="https://www.icbanq.com/P015971543"/>
    <hyperlink ref="F7" r:id="rId6" display="https://www.icbanq.com/P014159115"/>
    <hyperlink ref="F8" r:id="rId7" display="https://www.icbanq.com/P011433924"/>
    <hyperlink ref="F9" r:id="rId8" display="https://www.coupang.com/vp/products/169628214?vendorItemId=90711442678"/>
    <hyperlink ref="F10" r:id="rId9" display="https://www.coupang.com/vp/products/7589411879?vendorItemId=87148299583"/>
    <hyperlink ref="F11" r:id="rId10" display="https://www.coupang.com/vp/products/181380607?vendorItemId=4341984346"/>
    <hyperlink ref="F12" r:id="rId11" display="https://www.coupang.com/vp/products/7839505281?vendorItemId=90922897918"/>
    <hyperlink ref="F13" r:id="rId12" display="https://www.eleparts.co.kr/goods/view?no=2675965"/>
    <hyperlink ref="F14" r:id="rId13" display="https://www.eleparts.co.kr/goods/view?no=425"/>
    <hyperlink ref="F15" r:id="rId14" display="https://www.eleparts.co.kr/goods/view?no=2925651"/>
    <hyperlink ref="F16" r:id="rId15" display="https://www.eleparts.co.kr/goods/view?no=2925651"/>
    <hyperlink ref="F17" r:id="rId16" display="https://www.eleparts.co.kr/goods/view?no=425"/>
    <hyperlink ref="F18" r:id="rId17" display="https://www.eleparts.co.kr/goods/view?no=12816289"/>
    <hyperlink ref="F19" r:id="rId18" display="https://www.coupang.com/vp/products/130058387?vendorItemId=3929147929"/>
    <hyperlink ref="F20" r:id="rId19" display="https://www.coupang.com/vp/products/6627385385?vendorItemId=82316320569"/>
    <hyperlink ref="F21" r:id="rId20" display="https://www.coupang.com/vp/products/7575965502?vendorItemId=87087416424"/>
    <hyperlink ref="F22" r:id="rId21" display="https://www.coupang.com/vp/products/7575965502?vendorItemId=87087416424"/>
    <hyperlink ref="F23" r:id="rId22" display="https://www.devicemart.co.kr/goods/view?no=16080883"/>
    <hyperlink ref="F24" r:id="rId23" display="https://www.devicemart.co.kr/goods/view?no=10912779"/>
    <hyperlink ref="F25" r:id="rId24" display="https://www.devicemart.co.kr/goods/view?no=10912479"/>
    <hyperlink ref="F26" r:id="rId25" display="https://www.devicemart.co.kr/goods/view?no=10912781"/>
    <hyperlink ref="F27" r:id="rId26" display="https://www.devicemart.co.kr/goods/view?no=2674"/>
    <hyperlink ref="F28" r:id="rId27" display="https://www.devicemart.co.kr/goods/view?no=10911806"/>
    <hyperlink ref="F29" r:id="rId28" display="https://www.devicemart.co.kr/goods/view?no=10912759"/>
    <hyperlink ref="F30" r:id="rId29" display="https://www.coupang.com/vp/products/8243268767?vendorItemId=9074716696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46.84"/>
    <col collapsed="false" customWidth="true" hidden="false" outlineLevel="0" max="2" min="2" style="0" width="10.84"/>
    <col collapsed="false" customWidth="true" hidden="false" outlineLevel="0" max="3" min="3" style="0" width="6.84"/>
    <col collapsed="false" customWidth="true" hidden="false" outlineLevel="0" max="4" min="4" style="0" width="12.83"/>
    <col collapsed="false" customWidth="true" hidden="false" outlineLevel="0" max="5" min="5" style="0" width="30.84"/>
    <col collapsed="false" customWidth="true" hidden="false" outlineLevel="0" max="6" min="6" style="0" width="70.84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9" hidden="false" customHeight="false" outlineLevel="0" collapsed="false">
      <c r="A2" s="1" t="s">
        <v>84</v>
      </c>
      <c r="B2" s="2" t="n">
        <v>8610</v>
      </c>
      <c r="C2" s="2" t="n">
        <v>4</v>
      </c>
      <c r="D2" s="2" t="n">
        <f aca="false">B2*C2</f>
        <v>34440</v>
      </c>
      <c r="E2" s="1" t="s">
        <v>85</v>
      </c>
      <c r="F2" s="0" t="s">
        <v>86</v>
      </c>
    </row>
    <row r="3" customFormat="false" ht="15" hidden="false" customHeight="false" outlineLevel="0" collapsed="false">
      <c r="A3" s="1" t="s">
        <v>87</v>
      </c>
      <c r="B3" s="2" t="n">
        <v>3500</v>
      </c>
      <c r="C3" s="2" t="n">
        <v>1</v>
      </c>
      <c r="D3" s="2" t="n">
        <f aca="false">B3*C3</f>
        <v>3500</v>
      </c>
      <c r="E3" s="1" t="s">
        <v>85</v>
      </c>
    </row>
    <row r="4" customFormat="false" ht="17.9" hidden="false" customHeight="false" outlineLevel="0" collapsed="false">
      <c r="A4" s="1" t="s">
        <v>88</v>
      </c>
      <c r="B4" s="2" t="n">
        <v>310</v>
      </c>
      <c r="C4" s="2" t="n">
        <v>100</v>
      </c>
      <c r="D4" s="2" t="n">
        <f aca="false">B4*C4</f>
        <v>31000</v>
      </c>
      <c r="E4" s="1" t="s">
        <v>89</v>
      </c>
      <c r="F4" s="0" t="s">
        <v>90</v>
      </c>
    </row>
    <row r="5" customFormat="false" ht="17.9" hidden="false" customHeight="false" outlineLevel="0" collapsed="false">
      <c r="A5" s="0" t="s">
        <v>91</v>
      </c>
      <c r="B5" s="2" t="n">
        <v>3300</v>
      </c>
      <c r="C5" s="2" t="n">
        <v>8</v>
      </c>
      <c r="D5" s="2" t="n">
        <f aca="false">B5*C5</f>
        <v>26400</v>
      </c>
      <c r="E5" s="1" t="s">
        <v>92</v>
      </c>
      <c r="F5" s="0" t="s">
        <v>93</v>
      </c>
    </row>
    <row r="6" customFormat="false" ht="17.9" hidden="false" customHeight="false" outlineLevel="0" collapsed="false">
      <c r="A6" s="0" t="s">
        <v>94</v>
      </c>
      <c r="B6" s="2" t="n">
        <v>500</v>
      </c>
      <c r="C6" s="2" t="n">
        <v>7</v>
      </c>
      <c r="D6" s="2" t="n">
        <f aca="false">B6*C6</f>
        <v>3500</v>
      </c>
      <c r="E6" s="1" t="s">
        <v>92</v>
      </c>
      <c r="F6" s="0" t="s">
        <v>95</v>
      </c>
    </row>
    <row r="7" customFormat="false" ht="15" hidden="false" customHeight="false" outlineLevel="0" collapsed="false">
      <c r="A7" s="1" t="s">
        <v>96</v>
      </c>
      <c r="B7" s="2" t="n">
        <v>3000</v>
      </c>
      <c r="C7" s="2" t="n">
        <v>1</v>
      </c>
      <c r="D7" s="2" t="n">
        <f aca="false">B7*C7</f>
        <v>3000</v>
      </c>
      <c r="E7" s="1" t="s">
        <v>92</v>
      </c>
    </row>
    <row r="8" customFormat="false" ht="17.9" hidden="false" customHeight="false" outlineLevel="0" collapsed="false">
      <c r="A8" s="0" t="s">
        <v>97</v>
      </c>
      <c r="B8" s="2" t="n">
        <v>16489</v>
      </c>
      <c r="C8" s="2" t="n">
        <v>1</v>
      </c>
      <c r="D8" s="2" t="n">
        <f aca="false">B8*C8</f>
        <v>16489</v>
      </c>
      <c r="E8" s="1" t="s">
        <v>98</v>
      </c>
      <c r="F8" s="0" t="s">
        <v>99</v>
      </c>
    </row>
    <row r="9" customFormat="false" ht="17.9" hidden="false" customHeight="false" outlineLevel="0" collapsed="false">
      <c r="A9" s="1" t="s">
        <v>100</v>
      </c>
      <c r="B9" s="2" t="n">
        <v>3949</v>
      </c>
      <c r="C9" s="2" t="n">
        <v>1</v>
      </c>
      <c r="D9" s="2" t="n">
        <f aca="false">B9*C9</f>
        <v>3949</v>
      </c>
      <c r="E9" s="1" t="s">
        <v>98</v>
      </c>
      <c r="F9" s="0" t="s">
        <v>101</v>
      </c>
    </row>
    <row r="10" customFormat="false" ht="17.9" hidden="false" customHeight="false" outlineLevel="0" collapsed="false">
      <c r="A10" s="0" t="s">
        <v>102</v>
      </c>
      <c r="B10" s="2" t="n">
        <v>3399</v>
      </c>
      <c r="C10" s="2" t="n">
        <v>1</v>
      </c>
      <c r="D10" s="2" t="n">
        <f aca="false">B10*C10</f>
        <v>3399</v>
      </c>
      <c r="E10" s="1" t="s">
        <v>98</v>
      </c>
      <c r="F10" s="0" t="s">
        <v>103</v>
      </c>
    </row>
    <row r="11" customFormat="false" ht="17.9" hidden="false" customHeight="false" outlineLevel="0" collapsed="false">
      <c r="A11" s="0" t="s">
        <v>104</v>
      </c>
      <c r="B11" s="2" t="n">
        <v>2739</v>
      </c>
      <c r="C11" s="2" t="n">
        <v>1</v>
      </c>
      <c r="D11" s="2" t="n">
        <f aca="false">B11*C11</f>
        <v>2739</v>
      </c>
      <c r="E11" s="1" t="s">
        <v>98</v>
      </c>
      <c r="F11" s="0" t="s">
        <v>105</v>
      </c>
    </row>
    <row r="12" customFormat="false" ht="15" hidden="false" customHeight="false" outlineLevel="0" collapsed="false">
      <c r="A12" s="1" t="s">
        <v>106</v>
      </c>
      <c r="B12" s="2" t="n">
        <v>3300</v>
      </c>
      <c r="C12" s="2" t="n">
        <v>1</v>
      </c>
      <c r="D12" s="2" t="n">
        <f aca="false">B12*C12</f>
        <v>3300</v>
      </c>
      <c r="E12" s="1" t="s">
        <v>98</v>
      </c>
    </row>
    <row r="13" customFormat="false" ht="17.9" hidden="false" customHeight="false" outlineLevel="0" collapsed="false">
      <c r="A13" s="1" t="s">
        <v>107</v>
      </c>
      <c r="B13" s="2" t="n">
        <v>16600</v>
      </c>
      <c r="C13" s="2" t="n">
        <v>1</v>
      </c>
      <c r="D13" s="2" t="n">
        <f aca="false">B13*C13</f>
        <v>16600</v>
      </c>
      <c r="E13" s="1" t="s">
        <v>108</v>
      </c>
      <c r="F13" s="0" t="s">
        <v>109</v>
      </c>
    </row>
    <row r="14" customFormat="false" ht="17.9" hidden="false" customHeight="false" outlineLevel="0" collapsed="false">
      <c r="A14" s="1" t="s">
        <v>110</v>
      </c>
      <c r="B14" s="2" t="n">
        <v>6700</v>
      </c>
      <c r="C14" s="2" t="n">
        <v>1</v>
      </c>
      <c r="D14" s="2" t="n">
        <f aca="false">B14*C14</f>
        <v>6700</v>
      </c>
      <c r="E14" s="1" t="s">
        <v>108</v>
      </c>
      <c r="F14" s="0" t="s">
        <v>111</v>
      </c>
    </row>
    <row r="15" customFormat="false" ht="15" hidden="false" customHeight="false" outlineLevel="0" collapsed="false">
      <c r="A15" s="1" t="s">
        <v>112</v>
      </c>
      <c r="B15" s="2" t="n">
        <v>3300</v>
      </c>
      <c r="C15" s="2" t="n">
        <v>1</v>
      </c>
      <c r="D15" s="2" t="n">
        <f aca="false">B15*C15</f>
        <v>3300</v>
      </c>
      <c r="E15" s="1" t="s">
        <v>108</v>
      </c>
    </row>
    <row r="16" customFormat="false" ht="17.9" hidden="false" customHeight="false" outlineLevel="0" collapsed="false">
      <c r="A16" s="1" t="s">
        <v>113</v>
      </c>
      <c r="B16" s="2" t="n">
        <v>17680</v>
      </c>
      <c r="C16" s="2" t="n">
        <v>1</v>
      </c>
      <c r="D16" s="2" t="n">
        <f aca="false">B16*C16</f>
        <v>17680</v>
      </c>
      <c r="E16" s="1" t="s">
        <v>114</v>
      </c>
      <c r="F16" s="0" t="s">
        <v>115</v>
      </c>
    </row>
    <row r="17" customFormat="false" ht="17.9" hidden="false" customHeight="false" outlineLevel="0" collapsed="false">
      <c r="A17" s="1" t="s">
        <v>116</v>
      </c>
      <c r="B17" s="2" t="n">
        <v>13800</v>
      </c>
      <c r="C17" s="2" t="n">
        <v>1</v>
      </c>
      <c r="D17" s="2" t="n">
        <f aca="false">B17*C17</f>
        <v>13800</v>
      </c>
      <c r="E17" s="1" t="s">
        <v>117</v>
      </c>
      <c r="F17" s="0" t="s">
        <v>118</v>
      </c>
    </row>
    <row r="18" customFormat="false" ht="15" hidden="false" customHeight="false" outlineLevel="0" collapsed="false">
      <c r="A18" s="1" t="s">
        <v>119</v>
      </c>
      <c r="B18" s="2" t="n">
        <v>3000</v>
      </c>
      <c r="C18" s="2" t="n">
        <v>1</v>
      </c>
      <c r="D18" s="2" t="n">
        <f aca="false">B18*C18</f>
        <v>3000</v>
      </c>
      <c r="E18" s="1" t="s">
        <v>117</v>
      </c>
    </row>
    <row r="19" customFormat="false" ht="17.9" hidden="false" customHeight="false" outlineLevel="0" collapsed="false">
      <c r="A19" s="1" t="s">
        <v>120</v>
      </c>
      <c r="B19" s="2" t="n">
        <v>8750</v>
      </c>
      <c r="C19" s="2" t="n">
        <v>1</v>
      </c>
      <c r="D19" s="2" t="n">
        <f aca="false">B19*C19</f>
        <v>8750</v>
      </c>
      <c r="E19" s="0" t="s">
        <v>121</v>
      </c>
      <c r="F19" s="0" t="s">
        <v>122</v>
      </c>
    </row>
    <row r="20" customFormat="false" ht="17.9" hidden="false" customHeight="false" outlineLevel="0" collapsed="false">
      <c r="A20" s="0" t="s">
        <v>123</v>
      </c>
      <c r="B20" s="2" t="n">
        <v>2100</v>
      </c>
      <c r="C20" s="2" t="n">
        <v>3</v>
      </c>
      <c r="D20" s="2" t="n">
        <f aca="false">B20*C20</f>
        <v>6300</v>
      </c>
      <c r="E20" s="1" t="s">
        <v>124</v>
      </c>
      <c r="F20" s="0" t="s">
        <v>125</v>
      </c>
    </row>
    <row r="21" customFormat="false" ht="17.9" hidden="false" customHeight="false" outlineLevel="0" collapsed="false">
      <c r="A21" s="1" t="s">
        <v>126</v>
      </c>
      <c r="B21" s="2" t="n">
        <v>1500</v>
      </c>
      <c r="C21" s="2" t="n">
        <v>1</v>
      </c>
      <c r="D21" s="2" t="n">
        <f aca="false">B21*C21</f>
        <v>1500</v>
      </c>
      <c r="E21" s="1" t="s">
        <v>124</v>
      </c>
      <c r="F21" s="0" t="s">
        <v>127</v>
      </c>
    </row>
    <row r="22" customFormat="false" ht="17.9" hidden="false" customHeight="false" outlineLevel="0" collapsed="false">
      <c r="A22" s="1" t="s">
        <v>128</v>
      </c>
      <c r="B22" s="2" t="n">
        <v>3000</v>
      </c>
      <c r="C22" s="2" t="n">
        <v>1</v>
      </c>
      <c r="D22" s="2" t="n">
        <f aca="false">B22*C22</f>
        <v>3000</v>
      </c>
      <c r="E22" s="1" t="s">
        <v>124</v>
      </c>
    </row>
    <row r="23" customFormat="false" ht="17.9" hidden="false" customHeight="false" outlineLevel="0" collapsed="false">
      <c r="A23" s="1" t="s">
        <v>129</v>
      </c>
      <c r="B23" s="2" t="n">
        <v>80</v>
      </c>
      <c r="C23" s="2" t="n">
        <v>89</v>
      </c>
      <c r="D23" s="2" t="n">
        <f aca="false">B23*C23</f>
        <v>7120</v>
      </c>
      <c r="E23" s="1" t="s">
        <v>130</v>
      </c>
      <c r="F23" s="0" t="s">
        <v>131</v>
      </c>
    </row>
    <row r="24" customFormat="false" ht="15" hidden="false" customHeight="false" outlineLevel="0" collapsed="false">
      <c r="A24" s="1" t="s">
        <v>132</v>
      </c>
      <c r="B24" s="2" t="n">
        <v>2500</v>
      </c>
      <c r="C24" s="2" t="n">
        <v>1</v>
      </c>
      <c r="D24" s="2" t="n">
        <f aca="false">B24*C24</f>
        <v>2500</v>
      </c>
      <c r="E24" s="1" t="s">
        <v>130</v>
      </c>
    </row>
    <row r="25" customFormat="false" ht="17.9" hidden="false" customHeight="false" outlineLevel="0" collapsed="false">
      <c r="A25" s="1" t="s">
        <v>133</v>
      </c>
      <c r="B25" s="2" t="n">
        <v>5200</v>
      </c>
      <c r="C25" s="2" t="n">
        <v>1</v>
      </c>
      <c r="D25" s="2" t="n">
        <f aca="false">B25*C25</f>
        <v>5200</v>
      </c>
      <c r="E25" s="1" t="s">
        <v>22</v>
      </c>
      <c r="F25" s="0" t="s">
        <v>134</v>
      </c>
    </row>
    <row r="26" customFormat="false" ht="17.9" hidden="false" customHeight="false" outlineLevel="0" collapsed="false">
      <c r="A26" s="1" t="s">
        <v>135</v>
      </c>
      <c r="D26" s="2" t="n">
        <f aca="false">SUM(D2:D25)</f>
        <v>227166</v>
      </c>
    </row>
  </sheetData>
  <autoFilter ref="A1:F25"/>
  <hyperlinks>
    <hyperlink ref="F2" r:id="rId1" display="https://www.allsteelshop.com/product/squareplate/9t"/>
    <hyperlink ref="F4" r:id="rId2" display="https://kr.misumi-ec.com/vona2/detail/110310556289/?HissuCode=C-UA90R5-3-0.5"/>
    <hyperlink ref="F5" r:id="rId3" display="https://parts-parts.co.kr/product/detail.html?product_no=2383"/>
    <hyperlink ref="F6" r:id="rId4" display="https://parts-parts.co.kr/product/detail.html?product_no=303"/>
    <hyperlink ref="F8" r:id="rId5" display="https://www.navimro.com/g/1029233/"/>
    <hyperlink ref="F9" r:id="rId6" display="https://www.navimro.com/g/395062/"/>
    <hyperlink ref="F10" r:id="rId7" display="https://www.navimro.com/g/1028764/"/>
    <hyperlink ref="F11" r:id="rId8" display="https://www.navimro.com/g/37021/"/>
    <hyperlink ref="F13" r:id="rId9" display="https://www.nasakorea.com/goods/goods_view.php?goodsNo=6009"/>
    <hyperlink ref="F14" r:id="rId10" display="https://nasakorea.com/goods/goods_view.php?goodsNo=6090"/>
    <hyperlink ref="F16" r:id="rId11" display="https://namugongjang.com/product/detail.html?product_no=1378"/>
    <hyperlink ref="F17" r:id="rId12" display="https://studiobunt.com/product/detail.html?product_no=4117"/>
    <hyperlink ref="F19" r:id="rId13" display="https://www.11st.co.kr/products/9579455646"/>
    <hyperlink ref="F20" r:id="rId14" display="https://www.11st.co.kr/products/7591566666"/>
    <hyperlink ref="F21" r:id="rId15" display="https://www.11st.co.kr/products/8517880969"/>
    <hyperlink ref="F23" r:id="rId16" display="https://dgmagnet.com/product/%EC%B4%88%EA%B0%95%EB%A0%A5-%EB%84%A4%EC%98%A4%EB%94%94%EC%9B%80-%EC%9B%90%ED%98%95%EC%9E%90%EC%84%9D-5mm/13/"/>
    <hyperlink ref="F25" r:id="rId17" display="https://www.coupang.com/vp/products/8826157891?vendorItemId=9270814651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14.84"/>
    <col collapsed="false" customWidth="true" hidden="false" outlineLevel="0" max="3" min="3" style="0" width="60.84"/>
  </cols>
  <sheetData>
    <row r="1" customFormat="false" ht="15" hidden="false" customHeight="false" outlineLevel="0" collapsed="false">
      <c r="A1" s="1" t="s">
        <v>136</v>
      </c>
      <c r="B1" s="1" t="s">
        <v>137</v>
      </c>
      <c r="C1" s="1" t="s">
        <v>138</v>
      </c>
    </row>
    <row r="2" customFormat="false" ht="17.9" hidden="false" customHeight="false" outlineLevel="0" collapsed="false">
      <c r="A2" s="1" t="s">
        <v>139</v>
      </c>
      <c r="B2" s="2" t="n">
        <f aca="false">'학교 구매'!D31</f>
        <v>199960</v>
      </c>
      <c r="C2" s="1" t="s">
        <v>140</v>
      </c>
    </row>
    <row r="3" customFormat="false" ht="17.9" hidden="false" customHeight="false" outlineLevel="0" collapsed="false">
      <c r="A3" s="1" t="s">
        <v>141</v>
      </c>
      <c r="B3" s="2" t="n">
        <v>28700</v>
      </c>
      <c r="C3" s="1" t="s">
        <v>142</v>
      </c>
    </row>
    <row r="4" customFormat="false" ht="17.9" hidden="false" customHeight="false" outlineLevel="0" collapsed="false">
      <c r="A4" s="1" t="s">
        <v>143</v>
      </c>
      <c r="B4" s="2" t="n">
        <f aca="false">'사비 구매'!D26</f>
        <v>227166</v>
      </c>
      <c r="C4" s="1" t="s">
        <v>144</v>
      </c>
    </row>
    <row r="5" customFormat="false" ht="17.9" hidden="false" customHeight="false" outlineLevel="0" collapsed="false">
      <c r="A5" s="1" t="s">
        <v>145</v>
      </c>
      <c r="B5" s="2" t="n">
        <f aca="false">B2+B3+B4</f>
        <v>455826</v>
      </c>
      <c r="C5" s="0" t="s">
        <v>146</v>
      </c>
    </row>
    <row r="6" customFormat="false" ht="15" hidden="false" customHeight="false" outlineLevel="0" collapsed="false"/>
    <row r="7" customFormat="false" ht="17.9" hidden="false" customHeight="false" outlineLevel="0" collapsed="false">
      <c r="A7" s="0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2026-10-07T16:10:03Z</dcterms:created>
  <dc:creator/>
  <dc:description/>
  <dc:language>en-US</dc:language>
  <cp:lastModifiedBy/>
  <cp:revision>0</cp:revision>
  <dc:subject/>
  <dc:title>Toccata 학교·사비 구매 목록</dc:title>
</cp:coreProperties>
</file>