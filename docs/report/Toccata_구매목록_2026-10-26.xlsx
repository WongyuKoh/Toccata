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kwg/Desktop/mydrive/project/Toccata/docs/report/"/>
    </mc:Choice>
  </mc:AlternateContent>
  <xr:revisionPtr revIDLastSave="0" documentId="8_{1F10583B-D1B4-FA45-8A1C-41A054012B11}" xr6:coauthVersionLast="47" xr6:coauthVersionMax="47" xr10:uidLastSave="{00000000-0000-0000-0000-000000000000}"/>
  <bookViews>
    <workbookView xWindow="2380" yWindow="660" windowWidth="19800" windowHeight="15300" tabRatio="500" xr2:uid="{00000000-000D-0000-FFFF-FFFF00000000}"/>
  </bookViews>
  <sheets>
    <sheet name="구입항목" sheetId="1" r:id="rId1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" i="1" l="1"/>
  <c r="D7" i="1"/>
  <c r="D10" i="1"/>
  <c r="D9" i="1"/>
  <c r="D8" i="1"/>
  <c r="D6" i="1"/>
  <c r="D5" i="1"/>
  <c r="D4" i="1"/>
  <c r="D2" i="1"/>
  <c r="D11" i="1" s="1"/>
</calcChain>
</file>

<file path=xl/sharedStrings.xml><?xml version="1.0" encoding="utf-8"?>
<sst xmlns="http://schemas.openxmlformats.org/spreadsheetml/2006/main" count="25" uniqueCount="25">
  <si>
    <t>품목</t>
  </si>
  <si>
    <t>단가</t>
  </si>
  <si>
    <t>갯수</t>
  </si>
  <si>
    <t>금액</t>
  </si>
  <si>
    <t>사이트 링크</t>
  </si>
  <si>
    <r>
      <rPr>
        <sz val="11"/>
        <rFont val="Carlito"/>
        <family val="2"/>
      </rPr>
      <t xml:space="preserve">홀센서 </t>
    </r>
    <r>
      <rPr>
        <sz val="11"/>
        <rFont val="Carlito"/>
        <charset val="1"/>
      </rPr>
      <t>TI DRV5055A2QLPG (100</t>
    </r>
    <r>
      <rPr>
        <sz val="11"/>
        <rFont val="Carlito"/>
        <family val="2"/>
      </rPr>
      <t>개 단가</t>
    </r>
    <r>
      <rPr>
        <sz val="11"/>
        <rFont val="Carlito"/>
        <charset val="1"/>
      </rPr>
      <t>)</t>
    </r>
  </si>
  <si>
    <t>https://www.eleparts.co.kr/goods/view?no=16599266</t>
  </si>
  <si>
    <r>
      <rPr>
        <sz val="11"/>
        <rFont val="Carlito"/>
        <charset val="1"/>
      </rPr>
      <t>JST-XH 6</t>
    </r>
    <r>
      <rPr>
        <sz val="11"/>
        <rFont val="Carlito"/>
        <family val="2"/>
      </rPr>
      <t xml:space="preserve">핀 선 </t>
    </r>
    <r>
      <rPr>
        <sz val="11"/>
        <rFont val="Carlito"/>
        <charset val="1"/>
      </rPr>
      <t>200 mm (</t>
    </r>
    <r>
      <rPr>
        <sz val="11"/>
        <rFont val="Carlito"/>
        <family val="2"/>
      </rPr>
      <t>암</t>
    </r>
    <r>
      <rPr>
        <sz val="11"/>
        <rFont val="Carlito"/>
        <charset val="1"/>
      </rPr>
      <t>)</t>
    </r>
  </si>
  <si>
    <t>https://www.coupang.com/vp/products/9342123411?itemId=27706878741</t>
  </si>
  <si>
    <r>
      <rPr>
        <sz val="11"/>
        <rFont val="Carlito"/>
        <charset val="1"/>
      </rPr>
      <t>JST-XH 6</t>
    </r>
    <r>
      <rPr>
        <sz val="11"/>
        <rFont val="Carlito"/>
        <family val="2"/>
      </rPr>
      <t xml:space="preserve">핀 선 </t>
    </r>
    <r>
      <rPr>
        <sz val="11"/>
        <rFont val="Carlito"/>
        <charset val="1"/>
      </rPr>
      <t>200 mm (</t>
    </r>
    <r>
      <rPr>
        <sz val="11"/>
        <rFont val="Carlito"/>
        <family val="2"/>
      </rPr>
      <t>수</t>
    </r>
    <r>
      <rPr>
        <sz val="11"/>
        <rFont val="Carlito"/>
        <charset val="1"/>
      </rPr>
      <t>)</t>
    </r>
  </si>
  <si>
    <t>https://www.coupang.com/vp/products/9649824941?itemId=28841549463</t>
  </si>
  <si>
    <r>
      <rPr>
        <sz val="11"/>
        <rFont val="Carlito"/>
        <charset val="1"/>
      </rPr>
      <t xml:space="preserve">100 nF 1206 </t>
    </r>
    <r>
      <rPr>
        <sz val="11"/>
        <rFont val="Carlito"/>
        <family val="2"/>
      </rPr>
      <t xml:space="preserve">칩 콘덴서 </t>
    </r>
    <r>
      <rPr>
        <sz val="11"/>
        <rFont val="Carlito"/>
        <charset val="1"/>
      </rPr>
      <t>50 V (</t>
    </r>
    <r>
      <rPr>
        <sz val="11"/>
        <rFont val="Carlito"/>
        <family val="2"/>
      </rPr>
      <t>삼성</t>
    </r>
    <r>
      <rPr>
        <sz val="11"/>
        <rFont val="Carlito"/>
        <charset val="1"/>
      </rPr>
      <t>) — 50</t>
    </r>
    <r>
      <rPr>
        <sz val="11"/>
        <rFont val="Carlito"/>
        <family val="2"/>
      </rPr>
      <t>개 봉</t>
    </r>
  </si>
  <si>
    <t>https://www.coupang.com/vp/products/9603188425?itemId=28667856280</t>
  </si>
  <si>
    <r>
      <rPr>
        <sz val="11"/>
        <rFont val="Carlito"/>
        <charset val="1"/>
      </rPr>
      <t xml:space="preserve">1 kΩ 1206 </t>
    </r>
    <r>
      <rPr>
        <sz val="11"/>
        <rFont val="Carlito"/>
        <family val="2"/>
      </rPr>
      <t xml:space="preserve">칩 저항 — </t>
    </r>
    <r>
      <rPr>
        <sz val="11"/>
        <rFont val="Carlito"/>
        <charset val="1"/>
      </rPr>
      <t>100</t>
    </r>
    <r>
      <rPr>
        <sz val="11"/>
        <rFont val="Carlito"/>
        <family val="2"/>
      </rPr>
      <t>개</t>
    </r>
  </si>
  <si>
    <t>https://www.coupang.com/vp/products/9619702271?itemId=28725338618</t>
  </si>
  <si>
    <r>
      <rPr>
        <sz val="11"/>
        <rFont val="Carlito"/>
        <charset val="1"/>
      </rPr>
      <t xml:space="preserve">1 µF </t>
    </r>
    <r>
      <rPr>
        <sz val="11"/>
        <rFont val="Carlito"/>
        <family val="2"/>
      </rPr>
      <t xml:space="preserve">적층 세라믹 콘덴서 </t>
    </r>
    <r>
      <rPr>
        <sz val="11"/>
        <rFont val="Carlito"/>
        <charset val="1"/>
      </rPr>
      <t xml:space="preserve">50 V X7R </t>
    </r>
    <r>
      <rPr>
        <sz val="11"/>
        <rFont val="Carlito"/>
        <family val="2"/>
      </rPr>
      <t xml:space="preserve">리드형 </t>
    </r>
    <r>
      <rPr>
        <sz val="11"/>
        <rFont val="Carlito"/>
        <charset val="1"/>
      </rPr>
      <t>P5 (TDK FK26X7R1H105KRE06)</t>
    </r>
  </si>
  <si>
    <t>https://www.eleparts.co.kr/goods/view?no=11107005</t>
  </si>
  <si>
    <r>
      <rPr>
        <sz val="11"/>
        <rFont val="Carlito"/>
        <family val="2"/>
      </rPr>
      <t xml:space="preserve">캡스턴 나사 </t>
    </r>
    <r>
      <rPr>
        <sz val="11"/>
        <rFont val="Carlito"/>
        <charset val="1"/>
      </rPr>
      <t xml:space="preserve">M3×6 </t>
    </r>
    <r>
      <rPr>
        <sz val="11"/>
        <rFont val="Carlito"/>
        <family val="2"/>
      </rPr>
      <t xml:space="preserve">버튼헤드 </t>
    </r>
    <r>
      <rPr>
        <sz val="11"/>
        <rFont val="Carlito"/>
        <charset val="1"/>
      </rPr>
      <t>SUS304 — 100</t>
    </r>
    <r>
      <rPr>
        <sz val="11"/>
        <rFont val="Carlito"/>
        <family val="2"/>
      </rPr>
      <t>개</t>
    </r>
  </si>
  <si>
    <t>https://www.coupang.com/vp/products/9469018865?itemId=28182427490</t>
  </si>
  <si>
    <r>
      <rPr>
        <sz val="11"/>
        <rFont val="Carlito"/>
        <family val="2"/>
      </rPr>
      <t xml:space="preserve">스텐 렌치볼트 </t>
    </r>
    <r>
      <rPr>
        <sz val="11"/>
        <rFont val="Carlito"/>
        <charset val="1"/>
      </rPr>
      <t>M2.5 × 6 — 50</t>
    </r>
    <r>
      <rPr>
        <sz val="11"/>
        <rFont val="Carlito"/>
        <family val="2"/>
      </rPr>
      <t xml:space="preserve">개 </t>
    </r>
    <r>
      <rPr>
        <sz val="11"/>
        <rFont val="Carlito"/>
        <charset val="1"/>
      </rPr>
      <t xml:space="preserve">(Pi 4 + </t>
    </r>
    <r>
      <rPr>
        <sz val="11"/>
        <rFont val="Carlito"/>
        <family val="2"/>
      </rPr>
      <t xml:space="preserve">화면 </t>
    </r>
    <r>
      <rPr>
        <sz val="11"/>
        <rFont val="Carlito"/>
        <charset val="1"/>
      </rPr>
      <t>4)</t>
    </r>
  </si>
  <si>
    <t>https://www.coupang.com/vp/products/9611605058?itemId=28696255767</t>
  </si>
  <si>
    <r>
      <rPr>
        <sz val="11"/>
        <rFont val="Carlito"/>
        <charset val="1"/>
      </rPr>
      <t xml:space="preserve">LiFePO4 </t>
    </r>
    <r>
      <rPr>
        <sz val="11"/>
        <rFont val="Carlito"/>
        <family val="2"/>
      </rPr>
      <t xml:space="preserve">배터리 </t>
    </r>
    <r>
      <rPr>
        <sz val="11"/>
        <rFont val="Carlito"/>
        <charset val="1"/>
      </rPr>
      <t xml:space="preserve">12.8 V 4S1P + 3 A </t>
    </r>
    <r>
      <rPr>
        <sz val="11"/>
        <rFont val="Carlito"/>
        <family val="2"/>
      </rPr>
      <t xml:space="preserve">충전기 </t>
    </r>
    <r>
      <rPr>
        <sz val="11"/>
        <rFont val="Carlito"/>
        <charset val="1"/>
      </rPr>
      <t xml:space="preserve">(10Ah DCXT60-3A, </t>
    </r>
    <r>
      <rPr>
        <sz val="11"/>
        <rFont val="Carlito"/>
        <family val="2"/>
      </rPr>
      <t>판매자 월드셀러샵몰</t>
    </r>
    <r>
      <rPr>
        <sz val="11"/>
        <rFont val="Carlito"/>
        <charset val="1"/>
      </rPr>
      <t>)</t>
    </r>
  </si>
  <si>
    <t>https://www.coupang.com/vp/products/9669099122?itemId=28909144811&amp;vendorItemId=95841136380</t>
  </si>
  <si>
    <t>총합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</si>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</sst>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원"/>
  </numFmts>
  <fonts count="6">
    <font>
      <sz val="11"/>
      <name val="Carlito"/>
      <charset val="1"/>
    </font>
    <font>
      <b/>
      <sz val="11"/>
      <color rgb="FFFFFFFF"/>
      <name val="Carlito"/>
      <family val="2"/>
    </font>
    <font>
      <sz val="11"/>
      <name val="Carlito"/>
      <family val="2"/>
    </font>
    <font>
      <b/>
      <sz val="11"/>
      <name val="Carlito"/>
      <family val="2"/>
    </font>
    <font>
      <b/>
      <sz val="11"/>
      <name val="Carlito"/>
      <charset val="1"/>
    </font>
    <font>
      <u/>
      <sz val="11"/>
      <color theme="10"/>
      <name val="Carlito"/>
      <charset val="1"/>
    </font>
  </fonts>
  <fills count="8">
    <fill>
      <patternFill patternType="none"/>
    </fill>
    <fill>
      <patternFill patternType="gray125"/>
    </fill>
    <fill>
      <patternFill patternType="solid">
        <fgColor rgb="FF0B6584"/>
        <bgColor rgb="FF008080"/>
      </patternFill>
    </fill>
    <fill>
      <patternFill patternType="solid">
        <fgColor theme="7" tint="0.79989013336588644"/>
        <bgColor rgb="FFE7EEF2"/>
      </patternFill>
    </fill>
    <fill>
      <patternFill patternType="solid">
        <fgColor theme="5" tint="0.79989013336588644"/>
        <bgColor rgb="FFE7EEF2"/>
      </patternFill>
    </fill>
    <fill>
      <patternFill patternType="solid">
        <fgColor rgb="FFE7EEF2"/>
        <bgColor rgb="FFCAEEFB"/>
      </patternFill>
    </fill>
    <fill>
      <patternFill patternType="solid">
        <fgColor theme="0"/>
        <bgColor rgb="FFE7EEF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  <xf numFmtId="164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0" fontId="0" fillId="3" borderId="0" xfId="0" applyFill="1"/>
    <xf numFmtId="0" fontId="0" fillId="4" borderId="0" xfId="0" applyFill="1"/>
    <xf numFmtId="0" fontId="2" fillId="4" borderId="0" xfId="0" applyFont="1" applyFill="1"/>
    <xf numFmtId="0" fontId="3" fillId="5" borderId="0" xfId="0" applyFont="1" applyFill="1" applyAlignment="1">
      <alignment wrapText="1"/>
    </xf>
    <xf numFmtId="164" fontId="4" fillId="5" borderId="0" xfId="0" applyNumberFormat="1" applyFont="1" applyFill="1" applyAlignment="1">
      <alignment wrapText="1"/>
    </xf>
    <xf numFmtId="164" fontId="0" fillId="5" borderId="0" xfId="0" applyNumberFormat="1" applyFill="1" applyAlignment="1">
      <alignment wrapText="1"/>
    </xf>
    <xf numFmtId="0" fontId="5" fillId="3" borderId="0" xfId="1" applyFill="1"/>
    <xf numFmtId="0" fontId="5" fillId="4" borderId="0" xfId="1" applyFill="1"/>
    <xf numFmtId="0" fontId="0" fillId="0" borderId="0" xfId="0" applyBorder="1"/>
    <xf numFmtId="0" fontId="0" fillId="6" borderId="0" xfId="0" applyFill="1" applyBorder="1"/>
    <xf numFmtId="164" fontId="0" fillId="7" borderId="0" xfId="0" applyNumberFormat="1" applyFill="1" applyBorder="1" applyAlignment="1">
      <alignment wrapText="1"/>
    </xf>
    <xf numFmtId="1" fontId="0" fillId="7" borderId="0" xfId="0" applyNumberFormat="1" applyFill="1" applyBorder="1" applyAlignment="1">
      <alignment wrapText="1"/>
    </xf>
    <xf numFmtId="0" fontId="5" fillId="6" borderId="0" xfId="1" applyFill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6584"/>
      <rgbColor rgb="FFC0C0C0"/>
      <rgbColor rgb="FF808080"/>
      <rgbColor rgb="FF9999FF"/>
      <rgbColor rgb="FF993366"/>
      <rgbColor rgb="FFFBE3D6"/>
      <rgbColor rgb="FFCAEE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E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urchaseItemsTable" displayName="PurchaseItemsTable" ref="A1:F30" totalsRowShown="0">
  <tableColumns count="6">
    <tableColumn id="1" xr3:uid="{00000000-0010-0000-0000-000001000000}" name="품목"/>
    <tableColumn id="2" xr3:uid="{00000000-0010-0000-0000-000002000000}" name="단가"/>
    <tableColumn id="3" xr3:uid="{00000000-0010-0000-0000-000003000000}" name="갯수"/>
    <tableColumn id="4" xr3:uid="{00000000-0010-0000-0000-000004000000}" name="금액"/>
    <tableColumn id="5" xr3:uid="{00000000-0010-0000-0000-000005000000}" name="사이트 링크"/>
    <tableColumn id="6" xr3:uid="{00000000-0010-0000-0000-000006000000}" name="Column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rlito"/>
        <a:ea typeface="Carlito"/>
        <a:cs typeface="Carlito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www.eleparts.co.kr/goods/view?no=11107005" TargetMode="External"/><Relationship Id="rId1" Type="http://schemas.openxmlformats.org/officeDocument/2006/relationships/hyperlink" Target="https://www.coupang.com/vp/products/9669099122?itemId=28909144811&amp;vendorItemId=958411363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Normal="100" workbookViewId="0">
      <selection activeCell="E18" sqref="E18"/>
    </sheetView>
  </sheetViews>
  <sheetFormatPr baseColWidth="10" defaultColWidth="8.83203125" defaultRowHeight="15"/>
  <cols>
    <col min="1" max="1" width="35.1640625" customWidth="1"/>
    <col min="2" max="2" width="14" customWidth="1"/>
    <col min="3" max="3" width="10" customWidth="1"/>
    <col min="4" max="4" width="16" customWidth="1"/>
    <col min="5" max="5" width="42" customWidth="1"/>
  </cols>
  <sheetData>
    <row r="1" spans="1:6" ht="3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24</v>
      </c>
    </row>
    <row r="2" spans="1:6">
      <c r="A2" s="2" t="s">
        <v>5</v>
      </c>
      <c r="B2" s="3">
        <v>811</v>
      </c>
      <c r="C2" s="4">
        <v>100</v>
      </c>
      <c r="D2" s="3">
        <f t="shared" ref="D2:D10" si="0">B2*C2</f>
        <v>81100</v>
      </c>
      <c r="E2" s="5" t="s">
        <v>6</v>
      </c>
    </row>
    <row r="3" spans="1:6">
      <c r="A3" s="5" t="s">
        <v>15</v>
      </c>
      <c r="B3" s="3">
        <v>470</v>
      </c>
      <c r="C3" s="4">
        <v>4</v>
      </c>
      <c r="D3" s="3">
        <f t="shared" si="0"/>
        <v>1880</v>
      </c>
      <c r="E3" s="11" t="s">
        <v>16</v>
      </c>
    </row>
    <row r="4" spans="1:6">
      <c r="A4" s="6" t="s">
        <v>9</v>
      </c>
      <c r="B4" s="3">
        <v>480</v>
      </c>
      <c r="C4" s="4">
        <v>2</v>
      </c>
      <c r="D4" s="3">
        <f t="shared" si="0"/>
        <v>960</v>
      </c>
      <c r="E4" s="6" t="s">
        <v>10</v>
      </c>
    </row>
    <row r="5" spans="1:6">
      <c r="A5" s="6" t="s">
        <v>11</v>
      </c>
      <c r="B5" s="3">
        <v>2550</v>
      </c>
      <c r="C5" s="4">
        <v>2</v>
      </c>
      <c r="D5" s="3">
        <f t="shared" si="0"/>
        <v>5100</v>
      </c>
      <c r="E5" s="6" t="s">
        <v>12</v>
      </c>
    </row>
    <row r="6" spans="1:6">
      <c r="A6" s="6" t="s">
        <v>13</v>
      </c>
      <c r="B6" s="3">
        <v>600</v>
      </c>
      <c r="C6" s="4">
        <v>1</v>
      </c>
      <c r="D6" s="3">
        <f t="shared" si="0"/>
        <v>600</v>
      </c>
      <c r="E6" s="6" t="s">
        <v>14</v>
      </c>
    </row>
    <row r="7" spans="1:6">
      <c r="A7" s="6" t="s">
        <v>7</v>
      </c>
      <c r="B7" s="3">
        <v>480</v>
      </c>
      <c r="C7" s="4">
        <v>2</v>
      </c>
      <c r="D7" s="3">
        <f t="shared" ref="D7" si="1">B7*C7</f>
        <v>960</v>
      </c>
      <c r="E7" s="6" t="s">
        <v>8</v>
      </c>
    </row>
    <row r="8" spans="1:6">
      <c r="A8" s="7" t="s">
        <v>17</v>
      </c>
      <c r="B8" s="3">
        <v>7700</v>
      </c>
      <c r="C8" s="4">
        <v>1</v>
      </c>
      <c r="D8" s="3">
        <f t="shared" si="0"/>
        <v>7700</v>
      </c>
      <c r="E8" s="6" t="s">
        <v>18</v>
      </c>
    </row>
    <row r="9" spans="1:6">
      <c r="A9" s="7" t="s">
        <v>19</v>
      </c>
      <c r="B9" s="3">
        <v>7900</v>
      </c>
      <c r="C9" s="4">
        <v>1</v>
      </c>
      <c r="D9" s="3">
        <f t="shared" si="0"/>
        <v>7900</v>
      </c>
      <c r="E9" s="6" t="s">
        <v>20</v>
      </c>
    </row>
    <row r="10" spans="1:6">
      <c r="A10" s="6" t="s">
        <v>21</v>
      </c>
      <c r="B10" s="3">
        <v>70500</v>
      </c>
      <c r="C10" s="4">
        <v>1</v>
      </c>
      <c r="D10" s="3">
        <f t="shared" si="0"/>
        <v>70500</v>
      </c>
      <c r="E10" s="12" t="s">
        <v>22</v>
      </c>
    </row>
    <row r="11" spans="1:6" ht="15.75" customHeight="1">
      <c r="A11" s="8" t="s">
        <v>23</v>
      </c>
      <c r="B11" s="9"/>
      <c r="C11" s="8"/>
      <c r="D11" s="10">
        <f>SUM(D2:D10)</f>
        <v>176700</v>
      </c>
      <c r="E11" s="8"/>
    </row>
    <row r="17" spans="1:5">
      <c r="A17" s="13"/>
      <c r="B17" s="13"/>
      <c r="C17" s="13"/>
      <c r="D17" s="13"/>
      <c r="E17" s="13"/>
    </row>
    <row r="18" spans="1:5">
      <c r="A18" s="13"/>
      <c r="B18" s="13"/>
      <c r="C18" s="13"/>
      <c r="D18" s="13"/>
      <c r="E18" s="13"/>
    </row>
    <row r="19" spans="1:5">
      <c r="A19" s="13"/>
      <c r="B19" s="13"/>
      <c r="C19" s="13"/>
      <c r="D19" s="13"/>
      <c r="E19" s="13"/>
    </row>
    <row r="20" spans="1:5">
      <c r="A20" s="14"/>
      <c r="B20" s="15"/>
      <c r="C20" s="16"/>
      <c r="D20" s="15"/>
      <c r="E20" s="17"/>
    </row>
    <row r="21" spans="1:5">
      <c r="A21" s="18"/>
      <c r="B21" s="18"/>
      <c r="C21" s="18"/>
      <c r="D21" s="18"/>
      <c r="E21" s="18"/>
    </row>
  </sheetData>
  <hyperlinks>
    <hyperlink ref="E10" r:id="rId1" xr:uid="{F9ABE0B5-3220-CD42-9792-A9C7C730EF38}"/>
    <hyperlink ref="E3" r:id="rId2" xr:uid="{E3CA9A20-15D6-6946-A7CC-1EB44076AF25}"/>
  </hyperlinks>
  <pageMargins left="0.7" right="0.7" top="0.75" bottom="0.75" header="0.511811023622047" footer="0.511811023622047"/>
  <pageSetup paperSize="9" orientation="portrait" horizontalDpi="300" verticalDpi="300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구입항목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고원규</cp:lastModifiedBy>
  <cp:revision>0</cp:revision>
  <dcterms:created xsi:type="dcterms:W3CDTF">2026-10-26T04:28:54Z</dcterms:created>
  <dcterms:modified xsi:type="dcterms:W3CDTF">2026-10-26T04:32:25Z</dcterms:modified>
  <dc:language>en-US</dc:language>
</cp:coreProperties>
</file>