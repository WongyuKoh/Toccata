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부품 목록" sheetId="1" state="visible" r:id="rId3"/>
  </sheets>
  <definedNames>
    <definedName function="false" hidden="false" localSheetId="0" name="_xlnm.Print_Titles" vbProcedure="false">'부품 목록'!$5:$5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<sst xmlns="http://schemas.openxmlformats.org/spreadsheetml/2006/main" count="366" uniqueCount="352">
  <si>
    <t xml:space="preserve">Toccata 부품 목록 — 프로젝트 제작에 필요한 부품 (배송비 · 공구 · 2단계 게임 · 소프트웨어 · 페달 제외)</t>
  </si>
  <si>
    <t xml:space="preserve">기준: 2026-09-29 현재 설계 — 건반 액션 v4 W1(r4.5: 시소 건반 + 무게 레버) + v3.2 센서·전자·오디오·본체. 가격은 판매처 페이지 확인값(2026-09-24~28, VAT 포함, 원). 3D 프린터는 포함하지 않는다.</t>
  </si>
  <si>
    <t xml:space="preserve">사용법: 파란 글씨(수량·단가)만 고치면 예상 가격·소계·합계가 다시 계산된다. 예상 가격 = 수량 × 단가. 구매 링크는 한 번 누르면 열린다. 굵은 글씨 = 핵심 부품(1번 묶음 맨 위 Raspberry Pi 5, 2번 묶음 맨 위 RP2040-Zero · 홀센서 · MUX).</t>
  </si>
  <si>
    <t xml:space="preserve">No</t>
  </si>
  <si>
    <t xml:space="preserve">부품명</t>
  </si>
  <si>
    <t xml:space="preserve">수량</t>
  </si>
  <si>
    <t xml:space="preserve">용도</t>
  </si>
  <si>
    <t xml:space="preserve">단가(원)</t>
  </si>
  <si>
    <t xml:space="preserve">예상 가격(원)</t>
  </si>
  <si>
    <t xml:space="preserve">구매 링크</t>
  </si>
  <si>
    <t xml:space="preserve">판매처 · 상품명 (참고)</t>
  </si>
  <si>
    <t xml:space="preserve">1. 제어 · 전원 (핵심)</t>
  </si>
  <si>
    <t xml:space="preserve">Raspberry Pi 5 (2GB)</t>
  </si>
  <si>
    <t xml:space="preserve">피아노 음원(FluidSynth)과 리듬게임을 돌리는 중앙 컴퓨터</t>
  </si>
  <si>
    <t xml:space="preserve">https://www.icbanq.com/P016286897</t>
  </si>
  <si>
    <t xml:space="preserve">아이씨뱅큐 · Raspberry Pi 5 2GB (라즈베리파이 5 2GB Raspberry pi 5)</t>
  </si>
  <si>
    <t xml:space="preserve">USB 허브 10포트 (전원형)</t>
  </si>
  <si>
    <t xml:space="preserve">모듈 7 + 페달을 Pi 5 한 포트로 모음</t>
  </si>
  <si>
    <t xml:space="preserve">https://prod.danawa.com/info/?pcode=29865749</t>
  </si>
  <si>
    <t xml:space="preserve">다나와 최저가 (쿠팡 로켓배송) · 이지넷유비쿼터스 NEXTU 유우젠 710U3 (10포트/USB 3.0, 유전원)</t>
  </si>
  <si>
    <t xml:space="preserve">PD 트리거 모듈 (HUSB238)</t>
  </si>
  <si>
    <t xml:space="preserve">USB-C 전원 입력 → 20 V</t>
  </si>
  <si>
    <t xml:space="preserve">https://www.icbanq.com/P017179277</t>
  </si>
  <si>
    <t xml:space="preserve">아이씨뱅큐 (제노) · 100W QC PD 트리거 디코이 고정출력 모듈 5V-20V (HAM6113, HUSB238)</t>
  </si>
  <si>
    <t xml:space="preserve">강압 모듈 XL4016</t>
  </si>
  <si>
    <t xml:space="preserve">20 V → 5.1 V (Pi 5 · 허브 전원)</t>
  </si>
  <si>
    <t xml:space="preserve">https://www.icbanq.com/P017179502</t>
  </si>
  <si>
    <t xml:space="preserve">아이씨뱅큐 (제노) · 200W XL4016 DC-DC 강압 컨버터 모듈 IN 4-40V OUT 1.25-36V 5A (HAM6415, XH-M401)</t>
  </si>
  <si>
    <t xml:space="preserve">microSD 32GB (SanDisk Ultra)</t>
  </si>
  <si>
    <t xml:space="preserve">운영체제 · 음원 · 게임 저장</t>
  </si>
  <si>
    <t xml:space="preserve">https://prod.danawa.com/info/?pcode=20358155</t>
  </si>
  <si>
    <t xml:space="preserve">다나와 최저가 판매처 · SanDisk micro SD Ultra 2022 32GB (SDSQUA4-032G-GN6MA)</t>
  </si>
  <si>
    <t xml:space="preserve">Pi 5 방열판 (4개 세트)</t>
  </si>
  <si>
    <t xml:space="preserve">Pi 5 칩 방열</t>
  </si>
  <si>
    <t xml:space="preserve">https://www.mechasolution.com/goods/goods_view.php?goodsNo=605179</t>
  </si>
  <si>
    <t xml:space="preserve">메카솔루션 · 라즈베리파이5 방열판 / 5B 전용 / 알루미늄 (4개 세트)</t>
  </si>
  <si>
    <t xml:space="preserve">로커 스위치</t>
  </si>
  <si>
    <t xml:space="preserve">피아노 전원 스위치</t>
  </si>
  <si>
    <t xml:space="preserve">https://www.eleparts.co.kr/goods/view?no=32569</t>
  </si>
  <si>
    <t xml:space="preserve">엘레파츠 · [ZX Electronics] KCD1-101A BLACK I/O 로커 스위치 (2P ON-OFF, 6A 250VAC / 10A 125VAC)</t>
  </si>
  <si>
    <t xml:space="preserve">퓨즈 홀더 (5×20 mm)</t>
  </si>
  <si>
    <t xml:space="preserve">20 V 선 보호</t>
  </si>
  <si>
    <t xml:space="preserve">https://www.eleparts.co.kr/goods/view?no=3237821</t>
  </si>
  <si>
    <t xml:space="preserve">엘레파츠 · [Coms] BU914 원형 휴즈 홀더 (5×20 mm, 인라인)</t>
  </si>
  <si>
    <t xml:space="preserve">퓨즈 5 A 지연형 (5개)</t>
  </si>
  <si>
    <t xml:space="preserve">퓨즈 1 + 예비 4</t>
  </si>
  <si>
    <t xml:space="preserve">https://www.eleparts.co.kr/goods/view?no=12766820</t>
  </si>
  <si>
    <t xml:space="preserve">엘레파츠 · [LITTELFUSE] 0218005.MXP 5 A 지연형 퓨즈 5×20 mm</t>
  </si>
  <si>
    <t xml:space="preserve">65 W PD 충전기</t>
  </si>
  <si>
    <t xml:space="preserve">벽 전원 (보조배터리 대신 쓸 때)</t>
  </si>
  <si>
    <t xml:space="preserve">https://prod.danawa.com/info/?pcode=59074565</t>
  </si>
  <si>
    <t xml:space="preserve">다나와 최저가 판매처 · 파워마스터 PD PPS 65W 3포트 GaN 접지형 충전기 PG65PDG2C1A (케이블미포함)</t>
  </si>
  <si>
    <t xml:space="preserve">제어 · 전원 (핵심) 소계</t>
  </si>
  <si>
    <t xml:space="preserve">2. 센서 · MCU · 기판</t>
  </si>
  <si>
    <t xml:space="preserve">RP2040-Zero 마이크로컨트롤러</t>
  </si>
  <si>
    <t xml:space="preserve">모듈 7 + 페달 1: 센서 읽기 · 세기 계산 · USB-MIDI</t>
  </si>
  <si>
    <t xml:space="preserve">https://parts-parts.co.kr/product/detail.html?product_no=2383</t>
  </si>
  <si>
    <t xml:space="preserve">파츠파츠 (동신전자) · (PP-A799-2) 라즈베리 파이 피코 PICO RP2040-ZERO</t>
  </si>
  <si>
    <t xml:space="preserve">홀센서 TI DRV5055A2</t>
  </si>
  <si>
    <t xml:space="preserve">건반마다 1개, 건반 위치 측정 (88 + 페달 1 + 예비)</t>
  </si>
  <si>
    <t xml:space="preserve">https://www.icbanq.com/P018076669</t>
  </si>
  <si>
    <t xml:space="preserve">아이씨뱅큐 (LCSC 해외 재고) · TI DRV5055A2QLPG (TO-92-3 Linear Hall Effect Sensor, LCSC 경유)</t>
  </si>
  <si>
    <t xml:space="preserve">네오디뮴 자석 Ø5×2 N35</t>
  </si>
  <si>
    <t xml:space="preserve">건반 밑면에 1개씩, 센서가 읽는 자석</t>
  </si>
  <si>
    <t xml:space="preserve">https://dgmagnet.com/product/%EC%B4%88%EA%B0%95%EB%A0%A5-%EB%84%A4%EC%98%A4%EB%94%94%EC%9B%80-%EC%9B%90%ED%98%95%EC%9E%90%EC%84%9D-5mm/13/</t>
  </si>
  <si>
    <t xml:space="preserve">대건상사 · 초강력 네오디움 원형자석 5mm (Ø5×2.0T, N35)</t>
  </si>
  <si>
    <t xml:space="preserve">16채널 MUX 모듈 (CD74HC4067)</t>
  </si>
  <si>
    <t xml:space="preserve">센서 12 + 끝 부속 4를 ADC 1개로 차례로 읽음</t>
  </si>
  <si>
    <t xml:space="preserve">https://parts-parts.co.kr/product/detail.html?product_no=303</t>
  </si>
  <si>
    <t xml:space="preserve">파츠파츠 (동신전자) · (PP-A324) 16채널 아날로그/디지털 멀티플렉서 모듈</t>
  </si>
  <si>
    <t xml:space="preserve">만능기판 5×7 cm</t>
  </si>
  <si>
    <t xml:space="preserve">모듈 제어 기판 7 + 페달 보드 1 (W1: 앞쪽 핀 홈 자리 비움)</t>
  </si>
  <si>
    <t xml:space="preserve">https://www.mechasolution.com/goods/goods_view.php?goodsNo=329798</t>
  </si>
  <si>
    <t xml:space="preserve">메카솔루션 · PCB기판/양면기판/에폭시/프로토보드 (5x7cm)</t>
  </si>
  <si>
    <t xml:space="preserve">만능기판 12×18 cm</t>
  </si>
  <si>
    <t xml:space="preserve">센서 기판 띠로 잘라 씀 (모듈 7 + 끝 부속 2)</t>
  </si>
  <si>
    <t xml:space="preserve">https://www.mechasolution.com/goods/goods_view.php?goodsNo=540645</t>
  </si>
  <si>
    <t xml:space="preserve">메카솔루션 · PCB기판/양면기판/에폭시/프로토보드 (12x18cm)</t>
  </si>
  <si>
    <t xml:space="preserve">칩 콘덴서 100 nF (1206)</t>
  </si>
  <si>
    <t xml:space="preserve">센서마다 전원 잡음 제거 + MUX (97개 사용)</t>
  </si>
  <si>
    <t xml:space="preserve">https://www.icbanq.com/P014968846</t>
  </si>
  <si>
    <t xml:space="preserve">아이씨뱅큐 (LCSC 해외 재고) · Samsung CL31B104KCFNNNE (1206 100nF 100V X7R)</t>
  </si>
  <si>
    <t xml:space="preserve">칩 콘덴서 10 µF (1206, 50개)</t>
  </si>
  <si>
    <t xml:space="preserve">센서 기판 양 끝 · 끝 부속 전원 안정 (16개 사용, 회로도 △1·△3)</t>
  </si>
  <si>
    <t xml:space="preserve">https://www.icbanq.com/P001248090</t>
  </si>
  <si>
    <t xml:space="preserve">아이씨뱅큐 (오렌지반도체) · C3216-10UF(K 16V) — 1206 10 µF 16 V 칩 세라믹 콘덴서 (50개 단위)</t>
  </si>
  <si>
    <t xml:space="preserve">핀헤더 1×40</t>
  </si>
  <si>
    <t xml:space="preserve">MUX 모듈 7개 · RP2040-Zero 8개 핀 헤더 (312핀 → 9줄)</t>
  </si>
  <si>
    <t xml:space="preserve">https://www.icbanq.com/P005666127</t>
  </si>
  <si>
    <t xml:space="preserve">아이씨뱅큐 · 핀헤더 1×40 - 2.54MM(S/T) _ 11.5MM(1단몰드)</t>
  </si>
  <si>
    <t xml:space="preserve">저항 1 kΩ (10개)</t>
  </si>
  <si>
    <t xml:space="preserve">앰프 입력 저음 차단 R701·R702 · 페달 R501·R551 (4개 사용)</t>
  </si>
  <si>
    <t xml:space="preserve">https://www.eleparts.co.kr/goods/view?no=10911</t>
  </si>
  <si>
    <t xml:space="preserve">엘레파츠 · [ABCO] CFR 1/4W 5% 탄소피막 저항 1kΩ (10개 단위)</t>
  </si>
  <si>
    <t xml:space="preserve">저항 100 kΩ (10개)</t>
  </si>
  <si>
    <t xml:space="preserve">제어 기판 EXT 풀다운 R301~R303 · 페달 R502 (5개 사용)</t>
  </si>
  <si>
    <t xml:space="preserve">https://www.eleparts.co.kr/goods/view?no=10993</t>
  </si>
  <si>
    <t xml:space="preserve">엘레파츠 · [ABCO] CFR 1/4W 5% 탄소피막 저항 100kΩ (10개 단위)</t>
  </si>
  <si>
    <t xml:space="preserve">저항 10 kΩ (10개)</t>
  </si>
  <si>
    <t xml:space="preserve">예비</t>
  </si>
  <si>
    <t xml:space="preserve">https://www.eleparts.co.kr/goods/view?no=10951</t>
  </si>
  <si>
    <t xml:space="preserve">엘레파츠 · [ABCO] CFR 1/4W 5% 탄소피막 저항 10kΩ (10개 단위)</t>
  </si>
  <si>
    <t xml:space="preserve">저항 100 Ω (10개)</t>
  </si>
  <si>
    <t xml:space="preserve">페달 링 급전 20 Ω (5개 병렬)</t>
  </si>
  <si>
    <t xml:space="preserve">https://www.eleparts.co.kr/goods/view?no=10873</t>
  </si>
  <si>
    <t xml:space="preserve">엘레파츠 · [ABCO] CFR 1/4W 5% 탄소피막 저항 100Ω (10개 단위)</t>
  </si>
  <si>
    <t xml:space="preserve">칩 저항 1 kΩ (1206, 10개)</t>
  </si>
  <si>
    <t xml:space="preserve">끝 부속 EL · ER 입력 직렬 저항 R401~R403 · R411 (기판 밑면, 4개 사용, 회로도 △13)</t>
  </si>
  <si>
    <t xml:space="preserve">https://www.icbanq.com/P011433924</t>
  </si>
  <si>
    <t xml:space="preserve">아이씨뱅큐 (element14 해외 재고) · Yageo RC1206JR-071KL — 1206 1 kΩ 5 % 1/4 W 칩 저항</t>
  </si>
  <si>
    <t xml:space="preserve">센서 · MCU · 기판 소계</t>
  </si>
  <si>
    <t xml:space="preserve">3. 건반 액션 (W1: 시소 건반 + 무게 레버)</t>
  </si>
  <si>
    <t xml:space="preserve">강철 평철 9T×19 (1 m 맞춤 재단)</t>
  </si>
  <si>
    <t xml:space="preserve">무게 레버 강철 블록 90개 (40 mm씩 잘라 씀, 개당 53.7 g)</t>
  </si>
  <si>
    <t xml:space="preserve">https://www.allsteelshop.com/product/squareplate/9t</t>
  </si>
  <si>
    <t xml:space="preserve">올스틸샵 · 사각철판 9T (SS275) 19×1000 맞춤 재단</t>
  </si>
  <si>
    <t xml:space="preserve">스테인리스 봉 Ø4 (1 m) — 건반 봉</t>
  </si>
  <si>
    <t xml:space="preserve">건반 시소의 축 (모듈 7 + 끝 부속 2 + 예비 1 토막)</t>
  </si>
  <si>
    <t xml:space="preserve">https://www.11st.co.kr/products/1304631510</t>
  </si>
  <si>
    <t xml:space="preserve">onezaze · [onezaze] 스텐환봉 절단판매 1M (4mm)</t>
  </si>
  <si>
    <t xml:space="preserve">스테인리스 봉 Ø4 (1 m) — 레버 봉</t>
  </si>
  <si>
    <t xml:space="preserve">무게 레버가 매달리는 축 (건반 봉과 같은 봉)</t>
  </si>
  <si>
    <t xml:space="preserve">캡스턴 나사 M3×6 버튼헤드 (SUS)</t>
  </si>
  <si>
    <t xml:space="preserve">건반 꼬리에서 레버를 들어 올리는 나사, 높이 조정 (88 + 예비)</t>
  </si>
  <si>
    <t xml:space="preserve">https://www.icbanq.com/P015973844</t>
  </si>
  <si>
    <t xml:space="preserve">아이씨뱅큐 · AOFENG ISO7380 M3-0.5X6 304 (Hex socket pan head cap screw)</t>
  </si>
  <si>
    <t xml:space="preserve">M3 육각 너트 (강철)</t>
  </si>
  <si>
    <t xml:space="preserve">캡스턴 나사 너트 96 + 스피커 브래킷 4</t>
  </si>
  <si>
    <t xml:space="preserve">https://www.icbanq.com/P015976209</t>
  </si>
  <si>
    <t xml:space="preserve">아이씨뱅큐 (LCSC 해외 재고) · XHHD 육각너트 M3 강철 (LCSC C133377)</t>
  </si>
  <si>
    <t xml:space="preserve">밸런스 핀 Ø2×12 (SUS, 100개)</t>
  </si>
  <si>
    <t xml:space="preserve">건반 뒤쪽 좌우 위치를 잡는 핀 (88 + 예비)</t>
  </si>
  <si>
    <t xml:space="preserve">https://www.nasakorea.com/goods/goods_view.php?goodsNo=6009</t>
  </si>
  <si>
    <t xml:space="preserve">나사코리아 nasakorea.com · 다올핀 M2*6~20 STS304 GB119.1(ISO2338) — 옵션 2*12/100개/스텐STS304</t>
  </si>
  <si>
    <t xml:space="preserve">비틀림 스프링 미스미 C-UA90R5-3-0.5 (기성품)</t>
  </si>
  <si>
    <t xml:space="preserve">레버마다 1개 (88 + 예비 12) — 두 다리를 22.3 / 8.0 mm로 잘라 끼움 (r4.5)</t>
  </si>
  <si>
    <t xml:space="preserve">https://kr.misumi-ec.com/vona2/detail/110310556289/?HissuCode=C-UA90R5-3-0.5</t>
  </si>
  <si>
    <t xml:space="preserve">한국미스미 · 한국미스미 경제형 토션스프링 C-UA90R5-3-0.5 (SUS304-WPB, 내경 5 · 선경 0.5 · 3권 · 암 각 90° 오른쪽 감기, 암 50/50)</t>
  </si>
  <si>
    <t xml:space="preserve">양모 펠트 2 mm (20×30 cm)</t>
  </si>
  <si>
    <t xml:space="preserve">캡스턴 띠 · 앞 멈춤 · 키퍼 펠트</t>
  </si>
  <si>
    <t xml:space="preserve">https://studiobunt.com/product/detail.html?product_no=4117</t>
  </si>
  <si>
    <t xml:space="preserve">스튜디오분트 · 100% 메리노양모 70수 펠트지 2mm 20×30cm (35 블랙)</t>
  </si>
  <si>
    <t xml:space="preserve">양모 펠트 1 mm (20×30 cm)</t>
  </si>
  <si>
    <t xml:space="preserve">업스톱 패드 윗면 · 쉼 펠트 (0.5T와 겹쳐 1.5T)</t>
  </si>
  <si>
    <t xml:space="preserve">https://studiobunt.com/product/detail.html?product_no=1157</t>
  </si>
  <si>
    <t xml:space="preserve">스튜디오분트 · 100% 메리노양모 70수 펠트지 1mm 20×30cm (80 블랙)</t>
  </si>
  <si>
    <t xml:space="preserve">포론(PORON) 폼 5T 점착 (100×100)</t>
  </si>
  <si>
    <t xml:space="preserve">업스톱 패드 — 설계 6T 대신 5T: 패드 바 쐐기를 1.0 mm 두껍게 출력, 단계 0 시험 먼저</t>
  </si>
  <si>
    <t xml:space="preserve">https://www.navimro.com/g/1028764/</t>
  </si>
  <si>
    <t xml:space="preserve">나비엠알오 · [와키(WAKI)] PORON 스폰지 접착 부착 PON-02 (100×100×5, 검정, 아크릴 점착)</t>
  </si>
  <si>
    <t xml:space="preserve">충격흡수재 하네나이트 1T (170×245)</t>
  </si>
  <si>
    <t xml:space="preserve">앞 펠트 밑 완충층 (NBR 고무, 단계 0 시험으로 확인)</t>
  </si>
  <si>
    <t xml:space="preserve">https://www.navimro.com/g/1029233/</t>
  </si>
  <si>
    <t xml:space="preserve">나비엠알오 · [와키(WAKI)] 충격흡수재 하네나이트 HNT002 (170×245×1, 검정)</t>
  </si>
  <si>
    <t xml:space="preserve">접착 펠트 0.5T (30×45 cm)</t>
  </si>
  <si>
    <t xml:space="preserve">건반 노치 · 핀 홈 · 가이드 탭 부싱 천, 쉼 펠트 한 겹</t>
  </si>
  <si>
    <t xml:space="preserve">https://www.11st.co.kr/products/8517880969</t>
  </si>
  <si>
    <t xml:space="preserve">상우아트 · [대원] 얇은 칼라펠트지 H 두께0.5mm 접착 30x45cm (H-20 검정)</t>
  </si>
  <si>
    <t xml:space="preserve">건반 액션 (W1: 시소 건반 + 무게 레버) 소계</t>
  </si>
  <si>
    <t xml:space="preserve">4. 오디오 (스피커 · 앰프)</t>
  </si>
  <si>
    <t xml:space="preserve">앰프 보드 XH-A232 (TPA3110)</t>
  </si>
  <si>
    <t xml:space="preserve">스피커 구동, 채널당 약 21 W</t>
  </si>
  <si>
    <t xml:space="preserve">https://www.icbanq.com/P017179248</t>
  </si>
  <si>
    <t xml:space="preserve">아이씨뱅큐 (제노) · XH-A232 (HW-404) TPA3110 2채널 앰프 보드 (제노 HAM6104)</t>
  </si>
  <si>
    <t xml:space="preserve">스피커 유닛 삼미 CW-100B25 (4인치 8 Ω)</t>
  </si>
  <si>
    <t xml:space="preserve">좌우 내장 스피커</t>
  </si>
  <si>
    <t xml:space="preserve">https://www.11st.co.kr/products/1565354988</t>
  </si>
  <si>
    <t xml:space="preserve">세운상가새한음향 · 삼미스피커(SAAT) CW-100B25 4인치 풀레인지 8Ω 25W (KS 인증)</t>
  </si>
  <si>
    <t xml:space="preserve">Apple USB-C 헤드폰 어댑터</t>
  </si>
  <si>
    <t xml:space="preserve">USB DAC (디지털 → 아날로그 소리)</t>
  </si>
  <si>
    <t xml:space="preserve">https://www.apple.com/kr/shop/product/mw2q3kh/a</t>
  </si>
  <si>
    <t xml:space="preserve">Apple · Apple USB-C–3.5mm 헤드폰 잭 어댑터 (MW2Q3KH/A)</t>
  </si>
  <si>
    <t xml:space="preserve">USB-C → USB-A 젠더</t>
  </si>
  <si>
    <t xml:space="preserve">어댑터를 Pi 5 USB 포트에 연결</t>
  </si>
  <si>
    <t xml:space="preserve">https://www.eleparts.co.kr/goods/view?no=11043038</t>
  </si>
  <si>
    <t xml:space="preserve">엘레파츠 · [Coms] IH190 USB-C(F) → USB-A(M) 변환 젠더 좌향 꺾임</t>
  </si>
  <si>
    <t xml:space="preserve">3.5 mm 스테레오 잭 PJ-313</t>
  </si>
  <si>
    <t xml:space="preserve">헤드폰 잭(꽂으면 스피커 차단) · 앰프 입력 · 페달 잭</t>
  </si>
  <si>
    <t xml:space="preserve">https://www.eleparts.co.kr/goods/view?no=67811</t>
  </si>
  <si>
    <t xml:space="preserve">엘레파츠 · [BSUN] PJ-313 3.5Ф 스테레오잭 (이어폰잭)</t>
  </si>
  <si>
    <t xml:space="preserve">적층 세라믹 콘덴서 1 µF</t>
  </si>
  <si>
    <t xml:space="preserve">앰프 입력 저음 차단 필터</t>
  </si>
  <si>
    <t xml:space="preserve">https://www.icbanq.com/P014159115</t>
  </si>
  <si>
    <t xml:space="preserve">아이씨뱅큐 (동신전자) · Monolithic Capacitor 1uF X7R 50V (리드형 적층 세라믹)</t>
  </si>
  <si>
    <t xml:space="preserve">XT30 커넥터 수 (선 포함)</t>
  </si>
  <si>
    <t xml:space="preserve">스피커 연결 — 앰프 쪽</t>
  </si>
  <si>
    <t xml:space="preserve">https://www.eleparts.co.kr/goods/view?no=12779720</t>
  </si>
  <si>
    <t xml:space="preserve">엘레파츠 · [AMASS] XT30U-M 수 커넥터 18AWG 10cm 실리콘 와이어</t>
  </si>
  <si>
    <t xml:space="preserve">XT30 커넥터 암 (선 포함)</t>
  </si>
  <si>
    <t xml:space="preserve">스피커 연결 — 스피커 쪽</t>
  </si>
  <si>
    <t xml:space="preserve">https://www.eleparts.co.kr/goods/view?no=12779721</t>
  </si>
  <si>
    <t xml:space="preserve">엘레파츠 · [AMASS] XT30U-F 암 커넥터 18AWG 10cm 실리콘 와이어</t>
  </si>
  <si>
    <t xml:space="preserve">오꾸메 합판 400×1200 (무료 재단)</t>
  </si>
  <si>
    <t xml:space="preserve">스피커 상자 2개</t>
  </si>
  <si>
    <t xml:space="preserve">https://namugongjang.com/product/detail.html?product_no=1378</t>
  </si>
  <si>
    <t xml:space="preserve">동진나무공장 · 무료배송 오꾸메 합판 400×1200×11.5mm 무료재단</t>
  </si>
  <si>
    <t xml:space="preserve">흡음솜 300 g</t>
  </si>
  <si>
    <t xml:space="preserve">스피커 상자 흡음재</t>
  </si>
  <si>
    <t xml:space="preserve">https://www.11st.co.kr/products/2325598213</t>
  </si>
  <si>
    <t xml:space="preserve">두유레디 · 두유레디 구름솜 300g (100% 국내산 할로우화이버)</t>
  </si>
  <si>
    <t xml:space="preserve">오디오 (스피커 · 앰프) 소계</t>
  </si>
  <si>
    <t xml:space="preserve">5. 본체 구조 · 결합</t>
  </si>
  <si>
    <t xml:space="preserve">오꾸메 합판 600×1200 (무료 재단)</t>
  </si>
  <si>
    <t xml:space="preserve">가운데 유닛 상자 (건반 보관함 · 제어부 · 배터리 칸)</t>
  </si>
  <si>
    <t xml:space="preserve">동진나무공장 · 무료배송 오꾸메 합판 600×1200×11.5mm 무료재단</t>
  </si>
  <si>
    <t xml:space="preserve">토글 래치 (SUS)</t>
  </si>
  <si>
    <t xml:space="preserve">가운데 유닛 ↔ 스피커 파트 잠금</t>
  </si>
  <si>
    <t xml:space="preserve">https://www.metaldiy.com/item/itemView.do?itemId=8806379117286</t>
  </si>
  <si>
    <t xml:space="preserve">철물박사 · 매미고리 1-20 (SUS304 스테인리스 토글 래치, 25×54mm)</t>
  </si>
  <si>
    <t xml:space="preserve">네오디뮴 자석 Ø8×3</t>
  </si>
  <si>
    <t xml:space="preserve">가운데 유닛 뚜껑 고정</t>
  </si>
  <si>
    <t xml:space="preserve">https://dgmagnet.com/product/detail.html?product_no=17</t>
  </si>
  <si>
    <t xml:space="preserve">대건상사 · 초강력 네오디움 원형자석 8mm — 3.0T (Ø8×3mm, N35)</t>
  </si>
  <si>
    <t xml:space="preserve">JST-XH 6핀 연장선</t>
  </si>
  <si>
    <t xml:space="preserve">끝 부속 ↔ 모듈 센서 선 커넥터</t>
  </si>
  <si>
    <t xml:space="preserve">https://www.rcbank.co.kr/shop/goods/goods_view.php?goodsno=29812</t>
  </si>
  <si>
    <t xml:space="preserve">알씨뱅크 · 리튬폴리머 배터리 밸런스잭 연장선 5셀용 (JST-XH 6핀 수↔암, BU-LP 5S, 200mm)</t>
  </si>
  <si>
    <t xml:space="preserve">고무발 28×5</t>
  </si>
  <si>
    <t xml:space="preserve">뒷바 받침 (5 mm 띄움, 진동 분리)</t>
  </si>
  <si>
    <t xml:space="preserve">https://www.eleparts.co.kr/goods/view?no=16628292</t>
  </si>
  <si>
    <t xml:space="preserve">엘레파츠 · [화성고무] 피스고무발 / 28x5 (RUB-E2)</t>
  </si>
  <si>
    <t xml:space="preserve">M3 방진 댐퍼·그로밋 (20개)</t>
  </si>
  <si>
    <t xml:space="preserve">끝 부속 ↔ 스피커 브래킷 방진</t>
  </si>
  <si>
    <t xml:space="preserve">https://www.rcbank.co.kr/shop/goods/goods_view.php?goodsno=67110</t>
  </si>
  <si>
    <t xml:space="preserve">알씨뱅크 · 알씨뱅크 M3 진동 방지 댐퍼 (20개)</t>
  </si>
  <si>
    <t xml:space="preserve">EVA 폼 3T (330×490)</t>
  </si>
  <si>
    <t xml:space="preserve">모듈 · 끝 부속 바닥 시트, 스피커 가스켓</t>
  </si>
  <si>
    <t xml:space="preserve">https://www.11st.co.kr/products/7591566666</t>
  </si>
  <si>
    <t xml:space="preserve">상우아트 · 에바폼 EVA 컬러 고밀도 칼라스펀지 3T (E-210 검정, 330×490)</t>
  </si>
  <si>
    <t xml:space="preserve">렌치볼트 M3×10 (SUS)</t>
  </si>
  <si>
    <t xml:space="preserve">센서 바 · 제어부 부품 · 토글 래치 고정</t>
  </si>
  <si>
    <t xml:space="preserve">https://www.11st.co.kr/products/4236198413</t>
  </si>
  <si>
    <t xml:space="preserve">굿나잇몰 · 스텐 유두 렌치볼트 M3 × 10mm</t>
  </si>
  <si>
    <t xml:space="preserve">렌치볼트 M3×6 (SUS)</t>
  </si>
  <si>
    <t xml:space="preserve">제어 기판 고정</t>
  </si>
  <si>
    <t xml:space="preserve">굿나잇몰 · 스텐 유두 렌치볼트 M3 × 6mm</t>
  </si>
  <si>
    <t xml:space="preserve">렌치볼트 M2.5×6 (SUS)</t>
  </si>
  <si>
    <t xml:space="preserve">Pi 5 고정</t>
  </si>
  <si>
    <t xml:space="preserve">굿나잇몰 · 스텐 유두 렌치볼트 M2.5 × 6mm</t>
  </si>
  <si>
    <t xml:space="preserve">와셔 M4 (SUS)</t>
  </si>
  <si>
    <t xml:space="preserve">고무발 피스 받침</t>
  </si>
  <si>
    <t xml:space="preserve">굿나잇몰 · 스텐 와셔 M4x9x0.5T</t>
  </si>
  <si>
    <t xml:space="preserve">직결피스 13 mm</t>
  </si>
  <si>
    <t xml:space="preserve">뒷바 출력 부품 · 고무발 고정</t>
  </si>
  <si>
    <t xml:space="preserve">https://www.11st.co.kr/products/4353471537</t>
  </si>
  <si>
    <t xml:space="preserve">굿나잇몰 · 스텐 둥근머리 직결피스 8호(Ø4.2) 13mm</t>
  </si>
  <si>
    <t xml:space="preserve">직결피스 16 mm</t>
  </si>
  <si>
    <t xml:space="preserve">스피커 유닛 고정</t>
  </si>
  <si>
    <t xml:space="preserve">굿나잇몰 · 스텐 둥근머리 직결피스 8호(Ø4.2) 16mm</t>
  </si>
  <si>
    <t xml:space="preserve">직결피스 19 mm</t>
  </si>
  <si>
    <t xml:space="preserve">스피커 그릴 고정</t>
  </si>
  <si>
    <t xml:space="preserve">굿나잇몰 · 스텐 둥근머리 직결피스 8호(Ø4.2) 19mm</t>
  </si>
  <si>
    <t xml:space="preserve">본체 구조 · 결합 소계</t>
  </si>
  <si>
    <t xml:space="preserve">6. 소모품</t>
  </si>
  <si>
    <t xml:space="preserve">PETG 필라멘트 흰색 1 kg (스풀)</t>
  </si>
  <si>
    <t xml:space="preserve">백건 출력</t>
  </si>
  <si>
    <t xml:space="preserve">https://kr.store.bambulab.com/products/petg-basic</t>
  </si>
  <si>
    <t xml:space="preserve">Bambu Lab · Bambu Lab PETG Basic 화이트(30106) 스풀 포함 1kg</t>
  </si>
  <si>
    <t xml:space="preserve">PETG 필라멘트 흰색 1 kg (리필)</t>
  </si>
  <si>
    <t xml:space="preserve">Bambu Lab · Bambu Lab PETG Basic 화이트(30106) 리필 1kg</t>
  </si>
  <si>
    <t xml:space="preserve">PETG 필라멘트 검정 1 kg (스풀)</t>
  </si>
  <si>
    <t xml:space="preserve">프레임 · 레버 캐리어 · 흑건 등</t>
  </si>
  <si>
    <t xml:space="preserve">Bambu Lab · Bambu Lab PETG Basic 블랙(30105) 스풀 포함 1kg</t>
  </si>
  <si>
    <t xml:space="preserve">PETG 필라멘트 1 kg 추가 (흰색 또는 검정)</t>
  </si>
  <si>
    <t xml:space="preserve">뒷바 출력 부품 · 여분</t>
  </si>
  <si>
    <t xml:space="preserve">Bambu Lab · Bambu Lab PETG Basic 스풀 포함 1kg 추가 (흰색 또는 검정)</t>
  </si>
  <si>
    <t xml:space="preserve">USB-A → USB-C 케이블 1 m</t>
  </si>
  <si>
    <t xml:space="preserve">모듈 7 + 페달 → USB 허브</t>
  </si>
  <si>
    <t xml:space="preserve">https://www.eleparts.co.kr/goods/view?no=4313490</t>
  </si>
  <si>
    <t xml:space="preserve">엘레파츠 · [NA993] Coms USB 3.1 Type C 케이블 1M USB 2.0 A to C타입 White</t>
  </si>
  <si>
    <t xml:space="preserve">리본 케이블 16P (1 m)</t>
  </si>
  <si>
    <t xml:space="preserve">센서 기판 → 제어 기판</t>
  </si>
  <si>
    <t xml:space="preserve">https://www.eleparts.co.kr/goods/view?no=425</t>
  </si>
  <si>
    <t xml:space="preserve">엘레파츠 · [EUNSUNG] Flat Data Cable 2651-16P (1m단위)</t>
  </si>
  <si>
    <t xml:space="preserve">리본 케이블 16P (1 m) 추가</t>
  </si>
  <si>
    <t xml:space="preserve">기판 배선용 가닥</t>
  </si>
  <si>
    <t xml:space="preserve">스피커 케이블 16AWG 7 m</t>
  </si>
  <si>
    <t xml:space="preserve">앰프 → 스피커, 20 V 전원선</t>
  </si>
  <si>
    <t xml:space="preserve">https://www.eleparts.co.kr/goods/view?no=18388615</t>
  </si>
  <si>
    <t xml:space="preserve">엘레파츠 · [케이블스토어] 프리즘 국산 스피커케이블 50C 16AWG, 7M [블랙/PRS-50B07]</t>
  </si>
  <si>
    <t xml:space="preserve">3.5 mm 스테레오 케이블 1.5 m</t>
  </si>
  <si>
    <t xml:space="preserve">어댑터 → 헤드폰 잭 → 앰프</t>
  </si>
  <si>
    <t xml:space="preserve">https://www.eleparts.co.kr/goods/view?no=2925673</t>
  </si>
  <si>
    <t xml:space="preserve">엘레파츠 · [AV0176] Coms 스테레오 케이블 1.5M AUX 3극 Stereo 3.5 M/M</t>
  </si>
  <si>
    <t xml:space="preserve">USB-C PD 케이블 0.6 m</t>
  </si>
  <si>
    <t xml:space="preserve">보조배터리 → 피아노</t>
  </si>
  <si>
    <t xml:space="preserve">https://www.eleparts.co.kr/goods/view?no=17806172</t>
  </si>
  <si>
    <t xml:space="preserve">엘레파츠 · [MachLink] USB-C to C PD 60W 초고속충전 케이블, ML-CPD606 [블랙/0.6m]</t>
  </si>
  <si>
    <t xml:space="preserve">USB-C PD 케이블 2 m</t>
  </si>
  <si>
    <t xml:space="preserve">충전기 → 피아노</t>
  </si>
  <si>
    <t xml:space="preserve">https://www.eleparts.co.kr/goods/view?no=17806170</t>
  </si>
  <si>
    <t xml:space="preserve">엘레파츠 · [MachLink] USB-C to C PD 60W 초고속충전 케이블, ML-CPD62 [블랙/2m]</t>
  </si>
  <si>
    <t xml:space="preserve">USB-C 전원 케이블 (제작용)</t>
  </si>
  <si>
    <t xml:space="preserve">강압 모듈 → Pi 5 전원</t>
  </si>
  <si>
    <t xml:space="preserve">https://www.eleparts.co.kr/goods/view?no=17358965</t>
  </si>
  <si>
    <t xml:space="preserve">엘레파츠 · [MAXTEK] 맥스텍 USB C타입 제작용 케이블 2선 Type-C Male(숫) DIY PD 전원 [MT666]</t>
  </si>
  <si>
    <t xml:space="preserve">열수축 튜브 세트</t>
  </si>
  <si>
    <t xml:space="preserve">선 이음 절연</t>
  </si>
  <si>
    <t xml:space="preserve">https://www.eleparts.co.kr/goods/view?no=8170311</t>
  </si>
  <si>
    <t xml:space="preserve">엘레파츠 · [엘레파츠] 열수축튜브 530세트 - 프라스틱케이스</t>
  </si>
  <si>
    <t xml:space="preserve">캡톤 테이프</t>
  </si>
  <si>
    <t xml:space="preserve">기판 절연</t>
  </si>
  <si>
    <t xml:space="preserve">https://www.eleparts.co.kr/goods/view?no=557</t>
  </si>
  <si>
    <t xml:space="preserve">엘레파츠 · [KzPton] 캡톤테이프 10mm폭x33m</t>
  </si>
  <si>
    <t xml:space="preserve">케이블 타이 (100개)</t>
  </si>
  <si>
    <t xml:space="preserve">케이블 정리</t>
  </si>
  <si>
    <t xml:space="preserve">https://www.eleparts.co.kr/goods/view?no=9100003</t>
  </si>
  <si>
    <t xml:space="preserve">엘레파츠 · 티테크놀로지 케이블타이, 100개 [소/100mm] [블랙] [T-C2510B]</t>
  </si>
  <si>
    <t xml:space="preserve">실납 0.8 mm 50 g</t>
  </si>
  <si>
    <t xml:space="preserve">손 납땜 (약 1,500곳)</t>
  </si>
  <si>
    <t xml:space="preserve">https://www.eleparts.co.kr/goods/view?no=12755646</t>
  </si>
  <si>
    <t xml:space="preserve">엘레파츠 · [YUN FANG] 유연납 0.8mm 50g</t>
  </si>
  <si>
    <t xml:space="preserve">순간접착제 5 g</t>
  </si>
  <si>
    <t xml:space="preserve">자석 고정</t>
  </si>
  <si>
    <t xml:space="preserve">https://www.icbanq.com/P015309984</t>
  </si>
  <si>
    <t xml:space="preserve">아이씨뱅큐 (크레텍) · 순간접착제 (814-2010) — V-tech 강력 순간접착제 5g (VT-041)</t>
  </si>
  <si>
    <t xml:space="preserve">MS 폴리머 탄성 접착제 세메다인 슈퍼X 흰색 20 mL</t>
  </si>
  <si>
    <t xml:space="preserve">강철 블록을 레버 캐리어에 붙임 (필요 약 14 mL, 흰색·검정만 — 투명은 PET 접착이 약함)</t>
  </si>
  <si>
    <t xml:space="preserve">https://www.11st.co.kr/products/7459325704</t>
  </si>
  <si>
    <t xml:space="preserve">주영종합상사 · 세메다인 슈퍼X 8008 탄성접착제 백색 20 mL (AX-022)</t>
  </si>
  <si>
    <t xml:space="preserve">종이 양면테이프</t>
  </si>
  <si>
    <t xml:space="preserve">EVA 시트 · 펠트 부착</t>
  </si>
  <si>
    <t xml:space="preserve">https://www.eleparts.co.kr/goods/view?no=17897439</t>
  </si>
  <si>
    <t xml:space="preserve">엘레파츠 · [NAVI] 종이 양면테이프, 백색/48mm/6m</t>
  </si>
  <si>
    <t xml:space="preserve">목공 본드 800 g</t>
  </si>
  <si>
    <t xml:space="preserve">합판 상자 접착</t>
  </si>
  <si>
    <t xml:space="preserve">https://www.navimro.com/g/395062/</t>
  </si>
  <si>
    <t xml:space="preserve">나비엠알오 · 오공 201 205 본드 800g 목공용본드 (옵션: 오공 205본드 800g)</t>
  </si>
  <si>
    <t xml:space="preserve">텅스텐 퍼티 (22 g)</t>
  </si>
  <si>
    <t xml:space="preserve">건반별 무게 미세 조정 (필요할 때만)</t>
  </si>
  <si>
    <t xml:space="preserve">https://www.11st.co.kr/products/9579455646</t>
  </si>
  <si>
    <t xml:space="preserve">골드그로브 · 텅스텐 퍼티 소프트 싱커 무게추 (낚시용, 22 g)</t>
  </si>
  <si>
    <t xml:space="preserve">OHP 필름 (A4 20매)</t>
  </si>
  <si>
    <t xml:space="preserve">0.1 mm 심 — 업스톱 시점 조정</t>
  </si>
  <si>
    <t xml:space="preserve">https://www.navimro.com/g/37021/</t>
  </si>
  <si>
    <t xml:space="preserve">나비엠알오 · OHP 필름 (A4) 흑백 레이저용 1PK(20매) (copierland)</t>
  </si>
  <si>
    <t xml:space="preserve">흑연 가루 30 ml</t>
  </si>
  <si>
    <t xml:space="preserve">캡스턴 펠트 마찰 줄이기</t>
  </si>
  <si>
    <t xml:space="preserve">https://www.11st.co.kr/products/1333385437</t>
  </si>
  <si>
    <t xml:space="preserve">비젼몰 · 크레타칼라 흑연파우더(소/30ml)</t>
  </si>
  <si>
    <t xml:space="preserve">소모품 소계</t>
  </si>
  <si>
    <t xml:space="preserve">합계</t>
  </si>
  <si>
    <t xml:space="preserve">피아노 부품 (1~5)</t>
  </si>
  <si>
    <t xml:space="preserve">소모품 (6)</t>
  </si>
  <si>
    <t xml:space="preserve">전체 합계 (부품 + 소모품)</t>
  </si>
  <si>
    <t xml:space="preserve">· 이 목록에 넣지 않은 것(사용자 요청): 페달 11,360원, 소프트웨어 (무료) 0원, 2단계 리듬게임 17,050원, 공구 139,438원, 배송비 약 54,100원(판매처별 1회). 페달 보드 전자 부품(RP2040-Zero 1개 · 5×7 기판 1장 · 홀센서 1개 · 페달 잭 · 저항)은 공용 부품이라 위 목록 수량에 그대로 들어 있다.</t>
  </si>
  <si>
    <t xml:space="preserve">· 목록에서 뺀 중복 · 불필요 항목: [DHG] 3mm 대폭 양모펠트지 150×10cm — W1 r4.1 설계에 3T 펠트를 쓰는 곳이 없음 (앞 멈춤·키퍼는 2T).</t>
  </si>
  <si>
    <t xml:space="preserve">· 비틀림 스프링은 직접 감지 않고 한국미스미 경제형 기성품 C-UA90R5-3-0.5(SUS304-WPB, 내경 5 · 선경 0.5 · 3권 · 암 각 90°)를 산다(2026-09-28 확인: 100개 이상 개당 282원 + VAT). 두 다리를 경선용 니퍼로 긴 다리 22.3 / 짧은 다리 8.0 mm로 자른다(r4.5: 짧은 다리를 허브의 가둠 홈에 넣어 코일이 봉에 닿지 않게 함). 단계 0 시험 8(쉼 4.19 / 바닥 6.03 N·mm ±15%)과 시험 13(가둠 홈 넣기)으로 확인한다. 한국미스미는 회원 가입 후 신용카드로 주문한다(개인 가능).</t>
  </si>
  <si>
    <t xml:space="preserve">· 강철 블록 접착제는 에폭시가 아니라 MS 폴리머 탄성 접착제(세메다인 슈퍼X 흰색)다. 에폭시는 온도 변화에 떨어져 설계(r4.4)와 맞지 않는다. 공기 중 습기로 굳어 닫힌 0.1 mm 틈 가운데는 며칠 걸릴 수 있어 단계 0 시험 20으로 확인한다.</t>
  </si>
  <si>
    <t xml:space="preserve">· PORON 폼은 판매처에 5T만 있어 설계 6T 대신 쓴다. 패드 바 6종의 쐐기를 1.0 mm 두껍게 출력해야 하고, 등급(25% 압축 0.36 MPa) 표기가 없어 단계 0 시험 1·2(반발 e ≤ 0.07, 강성)를 먼저 한다.</t>
  </si>
  <si>
    <t xml:space="preserve">· 단계 0 측정 도구(다이얼 게이지, 용수철 저울, 0.1 g 저울)와 커터칼 · 사포는 목록에 없다 — 빌리거나 가진 것을 쓴다. 봉 지름(3.97~4.00 mm)은 받은 뒤 확인한다.</t>
  </si>
  <si>
    <t xml:space="preserve">· 원본: docs/report/toccata-purchase-list-v4.xlsx (2026-09-29: v3.2 절감 선택 + v4 r4.5 + 회로 줄 변경 + 미스미 스프링 · MS 폴리머 접착제 · 경선 니퍼). 핀헤더 소켓은 회로 검토에서 빠졌다(끝 부속 EXT는 JST-XH를 패드에 직접 납땜). 건반 액션은 단계 0 시험 결과에 따라 바뀔 수 있다.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</si>
</sst>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pple SD Gothic Neo"/>
      <family val="0"/>
      <charset val="1"/>
    </font>
    <font>
      <sz val="9"/>
      <color rgb="FF555B66"/>
      <name val="Apple SD Gothic Neo"/>
      <family val="0"/>
      <charset val="1"/>
    </font>
    <font>
      <b val="true"/>
      <sz val="10"/>
      <color rgb="FFFFFFFF"/>
      <name val="Apple SD Gothic Neo"/>
      <family val="0"/>
      <charset val="1"/>
    </font>
    <font>
      <b val="true"/>
      <sz val="10"/>
      <name val="Apple SD Gothic Neo"/>
      <family val="0"/>
      <charset val="1"/>
    </font>
    <font>
      <sz val="10"/>
      <name val="Apple SD Gothic Neo"/>
      <family val="0"/>
      <charset val="1"/>
    </font>
    <font>
      <sz val="10"/>
      <color rgb="FF0000FF"/>
      <name val="Apple SD Gothic Neo"/>
      <family val="0"/>
      <charset val="1"/>
    </font>
    <font>
      <u val="single"/>
      <sz val="10"/>
      <color rgb="FF1F5FD8"/>
      <name val="Apple SD Gothic Neo"/>
      <family val="0"/>
      <charset val="1"/>
    </font>
    <font>
      <b val="true"/>
      <sz val="12"/>
      <name val="Apple SD Gothic Neo"/>
      <family val="0"/>
      <charset val="1"/>
    </font>
    <font>
      <b val="true"/>
      <sz val="11"/>
      <name val="Apple SD Gothic Neo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6181D"/>
        <bgColor rgb="FF000000"/>
      </patternFill>
    </fill>
    <fill>
      <patternFill patternType="solid">
        <fgColor rgb="FFEEF0F3"/>
        <bgColor rgb="FFFBE9E4"/>
      </patternFill>
    </fill>
    <fill>
      <patternFill patternType="solid">
        <fgColor rgb="FFFBE9E4"/>
        <bgColor rgb="FFEEF0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4DA"/>
      </left>
      <right style="thin">
        <color rgb="FFD0D4DA"/>
      </right>
      <top style="thin">
        <color rgb="FFD0D4DA"/>
      </top>
      <bottom style="thin">
        <color rgb="FFD0D4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9E4"/>
      <rgbColor rgb="FFEEF0F3"/>
      <rgbColor rgb="FF660066"/>
      <rgbColor rgb="FFFF8080"/>
      <rgbColor rgb="FF0066CC"/>
      <rgbColor rgb="FFD0D4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5FD8"/>
      <rgbColor rgb="FF33CCCC"/>
      <rgbColor rgb="FF99CC00"/>
      <rgbColor rgb="FFFFCC00"/>
      <rgbColor rgb="FFFF9900"/>
      <rgbColor rgb="FFFF6600"/>
      <rgbColor rgb="FF555B66"/>
      <rgbColor rgb="FF969696"/>
      <rgbColor rgb="FF003366"/>
      <rgbColor rgb="FF339966"/>
      <rgbColor rgb="FF1618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icbanq.com/P016286897" TargetMode="External"/><Relationship Id="rId2" Type="http://schemas.openxmlformats.org/officeDocument/2006/relationships/hyperlink" Target="https://prod.danawa.com/info/?pcode=29865749" TargetMode="External"/><Relationship Id="rId3" Type="http://schemas.openxmlformats.org/officeDocument/2006/relationships/hyperlink" Target="https://www.icbanq.com/P017179277" TargetMode="External"/><Relationship Id="rId4" Type="http://schemas.openxmlformats.org/officeDocument/2006/relationships/hyperlink" Target="https://www.icbanq.com/P017179502" TargetMode="External"/><Relationship Id="rId5" Type="http://schemas.openxmlformats.org/officeDocument/2006/relationships/hyperlink" Target="https://prod.danawa.com/info/?pcode=20358155" TargetMode="External"/><Relationship Id="rId6" Type="http://schemas.openxmlformats.org/officeDocument/2006/relationships/hyperlink" Target="https://www.mechasolution.com/goods/goods_view.php?goodsNo=605179" TargetMode="External"/><Relationship Id="rId7" Type="http://schemas.openxmlformats.org/officeDocument/2006/relationships/hyperlink" Target="https://www.eleparts.co.kr/goods/view?no=32569" TargetMode="External"/><Relationship Id="rId8" Type="http://schemas.openxmlformats.org/officeDocument/2006/relationships/hyperlink" Target="https://www.eleparts.co.kr/goods/view?no=3237821" TargetMode="External"/><Relationship Id="rId9" Type="http://schemas.openxmlformats.org/officeDocument/2006/relationships/hyperlink" Target="https://www.eleparts.co.kr/goods/view?no=12766820" TargetMode="External"/><Relationship Id="rId10" Type="http://schemas.openxmlformats.org/officeDocument/2006/relationships/hyperlink" Target="https://prod.danawa.com/info/?pcode=59074565" TargetMode="External"/><Relationship Id="rId11" Type="http://schemas.openxmlformats.org/officeDocument/2006/relationships/hyperlink" Target="https://parts-parts.co.kr/product/detail.html?product_no=2383" TargetMode="External"/><Relationship Id="rId12" Type="http://schemas.openxmlformats.org/officeDocument/2006/relationships/hyperlink" Target="https://www.icbanq.com/P018076669" TargetMode="External"/><Relationship Id="rId13" Type="http://schemas.openxmlformats.org/officeDocument/2006/relationships/hyperlink" Target="https://dgmagnet.com/product/&#52488;&#44053;&#47141;-&#45348;&#50724;&#46356;&#50880;-&#50896;&#54805;&#51088;&#49437;-5mm/13/" TargetMode="External"/><Relationship Id="rId14" Type="http://schemas.openxmlformats.org/officeDocument/2006/relationships/hyperlink" Target="https://parts-parts.co.kr/product/detail.html?product_no=303" TargetMode="External"/><Relationship Id="rId15" Type="http://schemas.openxmlformats.org/officeDocument/2006/relationships/hyperlink" Target="https://www.mechasolution.com/goods/goods_view.php?goodsNo=329798" TargetMode="External"/><Relationship Id="rId16" Type="http://schemas.openxmlformats.org/officeDocument/2006/relationships/hyperlink" Target="https://www.mechasolution.com/goods/goods_view.php?goodsNo=540645" TargetMode="External"/><Relationship Id="rId17" Type="http://schemas.openxmlformats.org/officeDocument/2006/relationships/hyperlink" Target="https://www.icbanq.com/P014968846" TargetMode="External"/><Relationship Id="rId18" Type="http://schemas.openxmlformats.org/officeDocument/2006/relationships/hyperlink" Target="https://www.icbanq.com/P001248090" TargetMode="External"/><Relationship Id="rId19" Type="http://schemas.openxmlformats.org/officeDocument/2006/relationships/hyperlink" Target="https://www.icbanq.com/P005666127" TargetMode="External"/><Relationship Id="rId20" Type="http://schemas.openxmlformats.org/officeDocument/2006/relationships/hyperlink" Target="https://www.eleparts.co.kr/goods/view?no=10911" TargetMode="External"/><Relationship Id="rId21" Type="http://schemas.openxmlformats.org/officeDocument/2006/relationships/hyperlink" Target="https://www.eleparts.co.kr/goods/view?no=10993" TargetMode="External"/><Relationship Id="rId22" Type="http://schemas.openxmlformats.org/officeDocument/2006/relationships/hyperlink" Target="https://www.eleparts.co.kr/goods/view?no=10951" TargetMode="External"/><Relationship Id="rId23" Type="http://schemas.openxmlformats.org/officeDocument/2006/relationships/hyperlink" Target="https://www.eleparts.co.kr/goods/view?no=10873" TargetMode="External"/><Relationship Id="rId24" Type="http://schemas.openxmlformats.org/officeDocument/2006/relationships/hyperlink" Target="https://www.icbanq.com/P011433924" TargetMode="External"/><Relationship Id="rId25" Type="http://schemas.openxmlformats.org/officeDocument/2006/relationships/hyperlink" Target="https://www.allsteelshop.com/product/squareplate/9t" TargetMode="External"/><Relationship Id="rId26" Type="http://schemas.openxmlformats.org/officeDocument/2006/relationships/hyperlink" Target="https://www.11st.co.kr/products/1304631510" TargetMode="External"/><Relationship Id="rId27" Type="http://schemas.openxmlformats.org/officeDocument/2006/relationships/hyperlink" Target="https://www.11st.co.kr/products/1304631510" TargetMode="External"/><Relationship Id="rId28" Type="http://schemas.openxmlformats.org/officeDocument/2006/relationships/hyperlink" Target="https://www.icbanq.com/P015973844" TargetMode="External"/><Relationship Id="rId29" Type="http://schemas.openxmlformats.org/officeDocument/2006/relationships/hyperlink" Target="https://www.icbanq.com/P015976209" TargetMode="External"/><Relationship Id="rId30" Type="http://schemas.openxmlformats.org/officeDocument/2006/relationships/hyperlink" Target="https://www.nasakorea.com/goods/goods_view.php?goodsNo=6009" TargetMode="External"/><Relationship Id="rId31" Type="http://schemas.openxmlformats.org/officeDocument/2006/relationships/hyperlink" Target="https://kr.misumi-ec.com/vona2/detail/110310556289/?HissuCode=C-UA90R5-3-0.5" TargetMode="External"/><Relationship Id="rId32" Type="http://schemas.openxmlformats.org/officeDocument/2006/relationships/hyperlink" Target="https://studiobunt.com/product/detail.html?product_no=4117" TargetMode="External"/><Relationship Id="rId33" Type="http://schemas.openxmlformats.org/officeDocument/2006/relationships/hyperlink" Target="https://studiobunt.com/product/detail.html?product_no=1157" TargetMode="External"/><Relationship Id="rId34" Type="http://schemas.openxmlformats.org/officeDocument/2006/relationships/hyperlink" Target="https://www.navimro.com/g/1028764/" TargetMode="External"/><Relationship Id="rId35" Type="http://schemas.openxmlformats.org/officeDocument/2006/relationships/hyperlink" Target="https://www.navimro.com/g/1029233/" TargetMode="External"/><Relationship Id="rId36" Type="http://schemas.openxmlformats.org/officeDocument/2006/relationships/hyperlink" Target="https://www.11st.co.kr/products/8517880969" TargetMode="External"/><Relationship Id="rId37" Type="http://schemas.openxmlformats.org/officeDocument/2006/relationships/hyperlink" Target="https://www.icbanq.com/P017179248" TargetMode="External"/><Relationship Id="rId38" Type="http://schemas.openxmlformats.org/officeDocument/2006/relationships/hyperlink" Target="https://www.11st.co.kr/products/1565354988" TargetMode="External"/><Relationship Id="rId39" Type="http://schemas.openxmlformats.org/officeDocument/2006/relationships/hyperlink" Target="https://www.apple.com/kr/shop/product/mw2q3kh/a" TargetMode="External"/><Relationship Id="rId40" Type="http://schemas.openxmlformats.org/officeDocument/2006/relationships/hyperlink" Target="https://www.eleparts.co.kr/goods/view?no=11043038" TargetMode="External"/><Relationship Id="rId41" Type="http://schemas.openxmlformats.org/officeDocument/2006/relationships/hyperlink" Target="https://www.eleparts.co.kr/goods/view?no=67811" TargetMode="External"/><Relationship Id="rId42" Type="http://schemas.openxmlformats.org/officeDocument/2006/relationships/hyperlink" Target="https://www.icbanq.com/P014159115" TargetMode="External"/><Relationship Id="rId43" Type="http://schemas.openxmlformats.org/officeDocument/2006/relationships/hyperlink" Target="https://www.eleparts.co.kr/goods/view?no=12779720" TargetMode="External"/><Relationship Id="rId44" Type="http://schemas.openxmlformats.org/officeDocument/2006/relationships/hyperlink" Target="https://www.eleparts.co.kr/goods/view?no=12779721" TargetMode="External"/><Relationship Id="rId45" Type="http://schemas.openxmlformats.org/officeDocument/2006/relationships/hyperlink" Target="https://namugongjang.com/product/detail.html?product_no=1378" TargetMode="External"/><Relationship Id="rId46" Type="http://schemas.openxmlformats.org/officeDocument/2006/relationships/hyperlink" Target="https://www.11st.co.kr/products/2325598213" TargetMode="External"/><Relationship Id="rId47" Type="http://schemas.openxmlformats.org/officeDocument/2006/relationships/hyperlink" Target="https://namugongjang.com/product/detail.html?product_no=1378" TargetMode="External"/><Relationship Id="rId48" Type="http://schemas.openxmlformats.org/officeDocument/2006/relationships/hyperlink" Target="https://www.metaldiy.com/item/itemView.do?itemId=8806379117286" TargetMode="External"/><Relationship Id="rId49" Type="http://schemas.openxmlformats.org/officeDocument/2006/relationships/hyperlink" Target="https://dgmagnet.com/product/detail.html?product_no=17" TargetMode="External"/><Relationship Id="rId50" Type="http://schemas.openxmlformats.org/officeDocument/2006/relationships/hyperlink" Target="https://www.rcbank.co.kr/shop/goods/goods_view.php?goodsno=29812" TargetMode="External"/><Relationship Id="rId51" Type="http://schemas.openxmlformats.org/officeDocument/2006/relationships/hyperlink" Target="https://www.eleparts.co.kr/goods/view?no=16628292" TargetMode="External"/><Relationship Id="rId52" Type="http://schemas.openxmlformats.org/officeDocument/2006/relationships/hyperlink" Target="https://www.rcbank.co.kr/shop/goods/goods_view.php?goodsno=67110" TargetMode="External"/><Relationship Id="rId53" Type="http://schemas.openxmlformats.org/officeDocument/2006/relationships/hyperlink" Target="https://www.11st.co.kr/products/7591566666" TargetMode="External"/><Relationship Id="rId54" Type="http://schemas.openxmlformats.org/officeDocument/2006/relationships/hyperlink" Target="https://www.11st.co.kr/products/4236198413" TargetMode="External"/><Relationship Id="rId55" Type="http://schemas.openxmlformats.org/officeDocument/2006/relationships/hyperlink" Target="https://www.11st.co.kr/products/4236198413" TargetMode="External"/><Relationship Id="rId56" Type="http://schemas.openxmlformats.org/officeDocument/2006/relationships/hyperlink" Target="https://www.11st.co.kr/products/4236198413" TargetMode="External"/><Relationship Id="rId57" Type="http://schemas.openxmlformats.org/officeDocument/2006/relationships/hyperlink" Target="https://www.11st.co.kr/products/4236198413" TargetMode="External"/><Relationship Id="rId58" Type="http://schemas.openxmlformats.org/officeDocument/2006/relationships/hyperlink" Target="https://www.11st.co.kr/products/4353471537" TargetMode="External"/><Relationship Id="rId59" Type="http://schemas.openxmlformats.org/officeDocument/2006/relationships/hyperlink" Target="https://www.11st.co.kr/products/4353471537" TargetMode="External"/><Relationship Id="rId60" Type="http://schemas.openxmlformats.org/officeDocument/2006/relationships/hyperlink" Target="https://www.11st.co.kr/products/4353471537" TargetMode="External"/><Relationship Id="rId61" Type="http://schemas.openxmlformats.org/officeDocument/2006/relationships/hyperlink" Target="https://kr.store.bambulab.com/products/petg-basic" TargetMode="External"/><Relationship Id="rId62" Type="http://schemas.openxmlformats.org/officeDocument/2006/relationships/hyperlink" Target="https://kr.store.bambulab.com/products/petg-basic" TargetMode="External"/><Relationship Id="rId63" Type="http://schemas.openxmlformats.org/officeDocument/2006/relationships/hyperlink" Target="https://kr.store.bambulab.com/products/petg-basic" TargetMode="External"/><Relationship Id="rId64" Type="http://schemas.openxmlformats.org/officeDocument/2006/relationships/hyperlink" Target="https://kr.store.bambulab.com/products/petg-basic" TargetMode="External"/><Relationship Id="rId65" Type="http://schemas.openxmlformats.org/officeDocument/2006/relationships/hyperlink" Target="https://www.eleparts.co.kr/goods/view?no=4313490" TargetMode="External"/><Relationship Id="rId66" Type="http://schemas.openxmlformats.org/officeDocument/2006/relationships/hyperlink" Target="https://www.eleparts.co.kr/goods/view?no=425" TargetMode="External"/><Relationship Id="rId67" Type="http://schemas.openxmlformats.org/officeDocument/2006/relationships/hyperlink" Target="https://www.eleparts.co.kr/goods/view?no=425" TargetMode="External"/><Relationship Id="rId68" Type="http://schemas.openxmlformats.org/officeDocument/2006/relationships/hyperlink" Target="https://www.eleparts.co.kr/goods/view?no=18388615" TargetMode="External"/><Relationship Id="rId69" Type="http://schemas.openxmlformats.org/officeDocument/2006/relationships/hyperlink" Target="https://www.eleparts.co.kr/goods/view?no=2925673" TargetMode="External"/><Relationship Id="rId70" Type="http://schemas.openxmlformats.org/officeDocument/2006/relationships/hyperlink" Target="https://www.eleparts.co.kr/goods/view?no=17806172" TargetMode="External"/><Relationship Id="rId71" Type="http://schemas.openxmlformats.org/officeDocument/2006/relationships/hyperlink" Target="https://www.eleparts.co.kr/goods/view?no=17806170" TargetMode="External"/><Relationship Id="rId72" Type="http://schemas.openxmlformats.org/officeDocument/2006/relationships/hyperlink" Target="https://www.eleparts.co.kr/goods/view?no=17358965" TargetMode="External"/><Relationship Id="rId73" Type="http://schemas.openxmlformats.org/officeDocument/2006/relationships/hyperlink" Target="https://www.eleparts.co.kr/goods/view?no=8170311" TargetMode="External"/><Relationship Id="rId74" Type="http://schemas.openxmlformats.org/officeDocument/2006/relationships/hyperlink" Target="https://www.eleparts.co.kr/goods/view?no=557" TargetMode="External"/><Relationship Id="rId75" Type="http://schemas.openxmlformats.org/officeDocument/2006/relationships/hyperlink" Target="https://www.eleparts.co.kr/goods/view?no=9100003" TargetMode="External"/><Relationship Id="rId76" Type="http://schemas.openxmlformats.org/officeDocument/2006/relationships/hyperlink" Target="https://www.eleparts.co.kr/goods/view?no=12755646" TargetMode="External"/><Relationship Id="rId77" Type="http://schemas.openxmlformats.org/officeDocument/2006/relationships/hyperlink" Target="https://www.icbanq.com/P015309984" TargetMode="External"/><Relationship Id="rId78" Type="http://schemas.openxmlformats.org/officeDocument/2006/relationships/hyperlink" Target="https://www.11st.co.kr/products/7459325704" TargetMode="External"/><Relationship Id="rId79" Type="http://schemas.openxmlformats.org/officeDocument/2006/relationships/hyperlink" Target="https://www.eleparts.co.kr/goods/view?no=17897439" TargetMode="External"/><Relationship Id="rId80" Type="http://schemas.openxmlformats.org/officeDocument/2006/relationships/hyperlink" Target="https://www.navimro.com/g/395062/" TargetMode="External"/><Relationship Id="rId81" Type="http://schemas.openxmlformats.org/officeDocument/2006/relationships/hyperlink" Target="https://www.11st.co.kr/products/9579455646" TargetMode="External"/><Relationship Id="rId82" Type="http://schemas.openxmlformats.org/officeDocument/2006/relationships/hyperlink" Target="https://www.navimro.com/g/37021/" TargetMode="External"/><Relationship Id="rId83" Type="http://schemas.openxmlformats.org/officeDocument/2006/relationships/hyperlink" Target="https://www.11st.co.kr/products/1333385437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7"/>
    <col collapsed="false" customWidth="true" hidden="false" outlineLevel="0" max="4" min="4" style="0" width="46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46"/>
    <col collapsed="false" customWidth="true" hidden="false" outlineLevel="0" max="8" min="8" style="0" width="60"/>
  </cols>
  <sheetData>
    <row r="1" customFormat="false" ht="18.6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</row>
    <row r="6" customFormat="false" ht="15" hidden="false" customHeight="false" outlineLevel="0" collapsed="false">
      <c r="A6" s="4" t="s">
        <v>11</v>
      </c>
      <c r="B6" s="5"/>
      <c r="C6" s="5"/>
      <c r="D6" s="5"/>
      <c r="E6" s="5"/>
      <c r="F6" s="5"/>
      <c r="G6" s="5"/>
      <c r="H6" s="5"/>
    </row>
    <row r="7" customFormat="false" ht="15" hidden="false" customHeight="false" outlineLevel="0" collapsed="false">
      <c r="A7" s="6" t="n">
        <v>1</v>
      </c>
      <c r="B7" s="7" t="s">
        <v>12</v>
      </c>
      <c r="C7" s="8" t="n">
        <v>1</v>
      </c>
      <c r="D7" s="9" t="s">
        <v>13</v>
      </c>
      <c r="E7" s="10" t="n">
        <v>119900</v>
      </c>
      <c r="F7" s="11" t="n">
        <f aca="false">C7*E7</f>
        <v>119900</v>
      </c>
      <c r="G7" s="12" t="s">
        <v>14</v>
      </c>
      <c r="H7" s="9" t="s">
        <v>15</v>
      </c>
    </row>
    <row r="8" customFormat="false" ht="25.35" hidden="false" customHeight="false" outlineLevel="0" collapsed="false">
      <c r="A8" s="6" t="n">
        <v>2</v>
      </c>
      <c r="B8" s="9" t="s">
        <v>16</v>
      </c>
      <c r="C8" s="8" t="n">
        <v>1</v>
      </c>
      <c r="D8" s="9" t="s">
        <v>17</v>
      </c>
      <c r="E8" s="10" t="n">
        <v>30700</v>
      </c>
      <c r="F8" s="11" t="n">
        <f aca="false">C8*E8</f>
        <v>30700</v>
      </c>
      <c r="G8" s="12" t="s">
        <v>18</v>
      </c>
      <c r="H8" s="9" t="s">
        <v>19</v>
      </c>
    </row>
    <row r="9" customFormat="false" ht="25.35" hidden="false" customHeight="false" outlineLevel="0" collapsed="false">
      <c r="A9" s="6" t="n">
        <v>3</v>
      </c>
      <c r="B9" s="9" t="s">
        <v>20</v>
      </c>
      <c r="C9" s="8" t="n">
        <v>1</v>
      </c>
      <c r="D9" s="9" t="s">
        <v>21</v>
      </c>
      <c r="E9" s="10" t="n">
        <v>4950</v>
      </c>
      <c r="F9" s="11" t="n">
        <f aca="false">C9*E9</f>
        <v>4950</v>
      </c>
      <c r="G9" s="12" t="s">
        <v>22</v>
      </c>
      <c r="H9" s="9" t="s">
        <v>23</v>
      </c>
    </row>
    <row r="10" customFormat="false" ht="25.35" hidden="false" customHeight="false" outlineLevel="0" collapsed="false">
      <c r="A10" s="6" t="n">
        <v>4</v>
      </c>
      <c r="B10" s="9" t="s">
        <v>24</v>
      </c>
      <c r="C10" s="8" t="n">
        <v>1</v>
      </c>
      <c r="D10" s="9" t="s">
        <v>25</v>
      </c>
      <c r="E10" s="10" t="n">
        <v>5170</v>
      </c>
      <c r="F10" s="11" t="n">
        <f aca="false">C10*E10</f>
        <v>5170</v>
      </c>
      <c r="G10" s="12" t="s">
        <v>26</v>
      </c>
      <c r="H10" s="9" t="s">
        <v>27</v>
      </c>
    </row>
    <row r="11" customFormat="false" ht="25.35" hidden="false" customHeight="false" outlineLevel="0" collapsed="false">
      <c r="A11" s="6" t="n">
        <v>5</v>
      </c>
      <c r="B11" s="9" t="s">
        <v>28</v>
      </c>
      <c r="C11" s="8" t="n">
        <v>1</v>
      </c>
      <c r="D11" s="9" t="s">
        <v>29</v>
      </c>
      <c r="E11" s="10" t="n">
        <v>15490</v>
      </c>
      <c r="F11" s="11" t="n">
        <f aca="false">C11*E11</f>
        <v>15490</v>
      </c>
      <c r="G11" s="12" t="s">
        <v>30</v>
      </c>
      <c r="H11" s="9" t="s">
        <v>31</v>
      </c>
    </row>
    <row r="12" customFormat="false" ht="15" hidden="false" customHeight="false" outlineLevel="0" collapsed="false">
      <c r="A12" s="6" t="n">
        <v>6</v>
      </c>
      <c r="B12" s="9" t="s">
        <v>32</v>
      </c>
      <c r="C12" s="8" t="n">
        <v>1</v>
      </c>
      <c r="D12" s="9" t="s">
        <v>33</v>
      </c>
      <c r="E12" s="10" t="n">
        <v>1400</v>
      </c>
      <c r="F12" s="11" t="n">
        <f aca="false">C12*E12</f>
        <v>1400</v>
      </c>
      <c r="G12" s="12" t="s">
        <v>34</v>
      </c>
      <c r="H12" s="9" t="s">
        <v>35</v>
      </c>
    </row>
    <row r="13" customFormat="false" ht="25.35" hidden="false" customHeight="false" outlineLevel="0" collapsed="false">
      <c r="A13" s="6" t="n">
        <v>7</v>
      </c>
      <c r="B13" s="9" t="s">
        <v>36</v>
      </c>
      <c r="C13" s="8" t="n">
        <v>1</v>
      </c>
      <c r="D13" s="9" t="s">
        <v>37</v>
      </c>
      <c r="E13" s="10" t="n">
        <v>385</v>
      </c>
      <c r="F13" s="11" t="n">
        <f aca="false">C13*E13</f>
        <v>385</v>
      </c>
      <c r="G13" s="12" t="s">
        <v>38</v>
      </c>
      <c r="H13" s="9" t="s">
        <v>39</v>
      </c>
    </row>
    <row r="14" customFormat="false" ht="15" hidden="false" customHeight="false" outlineLevel="0" collapsed="false">
      <c r="A14" s="6" t="n">
        <v>8</v>
      </c>
      <c r="B14" s="9" t="s">
        <v>40</v>
      </c>
      <c r="C14" s="8" t="n">
        <v>1</v>
      </c>
      <c r="D14" s="9" t="s">
        <v>41</v>
      </c>
      <c r="E14" s="10" t="n">
        <v>1110</v>
      </c>
      <c r="F14" s="11" t="n">
        <f aca="false">C14*E14</f>
        <v>1110</v>
      </c>
      <c r="G14" s="12" t="s">
        <v>42</v>
      </c>
      <c r="H14" s="9" t="s">
        <v>43</v>
      </c>
    </row>
    <row r="15" customFormat="false" ht="15" hidden="false" customHeight="false" outlineLevel="0" collapsed="false">
      <c r="A15" s="6" t="n">
        <v>9</v>
      </c>
      <c r="B15" s="9" t="s">
        <v>44</v>
      </c>
      <c r="C15" s="8" t="n">
        <v>5</v>
      </c>
      <c r="D15" s="9" t="s">
        <v>45</v>
      </c>
      <c r="E15" s="10" t="n">
        <v>110</v>
      </c>
      <c r="F15" s="11" t="n">
        <f aca="false">C15*E15</f>
        <v>550</v>
      </c>
      <c r="G15" s="12" t="s">
        <v>46</v>
      </c>
      <c r="H15" s="9" t="s">
        <v>47</v>
      </c>
    </row>
    <row r="16" customFormat="false" ht="25.35" hidden="false" customHeight="false" outlineLevel="0" collapsed="false">
      <c r="A16" s="6" t="n">
        <v>10</v>
      </c>
      <c r="B16" s="9" t="s">
        <v>48</v>
      </c>
      <c r="C16" s="8" t="n">
        <v>1</v>
      </c>
      <c r="D16" s="9" t="s">
        <v>49</v>
      </c>
      <c r="E16" s="10" t="n">
        <v>19800</v>
      </c>
      <c r="F16" s="11" t="n">
        <f aca="false">C16*E16</f>
        <v>19800</v>
      </c>
      <c r="G16" s="12" t="s">
        <v>50</v>
      </c>
      <c r="H16" s="9" t="s">
        <v>51</v>
      </c>
    </row>
    <row r="17" customFormat="false" ht="15" hidden="false" customHeight="false" outlineLevel="0" collapsed="false">
      <c r="A17" s="13"/>
      <c r="B17" s="13"/>
      <c r="C17" s="13"/>
      <c r="D17" s="14" t="s">
        <v>52</v>
      </c>
      <c r="E17" s="13"/>
      <c r="F17" s="15" t="n">
        <f aca="false">SUM(F7:F16)</f>
        <v>199455</v>
      </c>
      <c r="G17" s="13"/>
      <c r="H17" s="13"/>
    </row>
    <row r="18" customFormat="false" ht="15" hidden="false" customHeight="false" outlineLevel="0" collapsed="false">
      <c r="A18" s="4" t="s">
        <v>53</v>
      </c>
      <c r="B18" s="5"/>
      <c r="C18" s="5"/>
      <c r="D18" s="5"/>
      <c r="E18" s="5"/>
      <c r="F18" s="5"/>
      <c r="G18" s="5"/>
      <c r="H18" s="5"/>
    </row>
    <row r="19" customFormat="false" ht="15" hidden="false" customHeight="false" outlineLevel="0" collapsed="false">
      <c r="A19" s="6" t="n">
        <v>11</v>
      </c>
      <c r="B19" s="7" t="s">
        <v>54</v>
      </c>
      <c r="C19" s="8" t="n">
        <v>8</v>
      </c>
      <c r="D19" s="9" t="s">
        <v>55</v>
      </c>
      <c r="E19" s="10" t="n">
        <v>3300</v>
      </c>
      <c r="F19" s="11" t="n">
        <f aca="false">C19*E19</f>
        <v>26400</v>
      </c>
      <c r="G19" s="12" t="s">
        <v>56</v>
      </c>
      <c r="H19" s="9" t="s">
        <v>57</v>
      </c>
    </row>
    <row r="20" customFormat="false" ht="25.35" hidden="false" customHeight="false" outlineLevel="0" collapsed="false">
      <c r="A20" s="6" t="n">
        <v>12</v>
      </c>
      <c r="B20" s="7" t="s">
        <v>58</v>
      </c>
      <c r="C20" s="8" t="n">
        <v>100</v>
      </c>
      <c r="D20" s="9" t="s">
        <v>59</v>
      </c>
      <c r="E20" s="10" t="n">
        <v>891</v>
      </c>
      <c r="F20" s="11" t="n">
        <f aca="false">C20*E20</f>
        <v>89100</v>
      </c>
      <c r="G20" s="12" t="s">
        <v>60</v>
      </c>
      <c r="H20" s="9" t="s">
        <v>61</v>
      </c>
    </row>
    <row r="21" customFormat="false" ht="15" hidden="false" customHeight="false" outlineLevel="0" collapsed="false">
      <c r="A21" s="6" t="n">
        <v>13</v>
      </c>
      <c r="B21" s="9" t="s">
        <v>62</v>
      </c>
      <c r="C21" s="8" t="n">
        <v>100</v>
      </c>
      <c r="D21" s="9" t="s">
        <v>63</v>
      </c>
      <c r="E21" s="10" t="n">
        <v>80</v>
      </c>
      <c r="F21" s="11" t="n">
        <f aca="false">C21*E21</f>
        <v>8000</v>
      </c>
      <c r="G21" s="12" t="s">
        <v>64</v>
      </c>
      <c r="H21" s="9" t="s">
        <v>65</v>
      </c>
    </row>
    <row r="22" customFormat="false" ht="15" hidden="false" customHeight="false" outlineLevel="0" collapsed="false">
      <c r="A22" s="6" t="n">
        <v>14</v>
      </c>
      <c r="B22" s="7" t="s">
        <v>66</v>
      </c>
      <c r="C22" s="8" t="n">
        <v>7</v>
      </c>
      <c r="D22" s="9" t="s">
        <v>67</v>
      </c>
      <c r="E22" s="10" t="n">
        <v>500</v>
      </c>
      <c r="F22" s="11" t="n">
        <f aca="false">C22*E22</f>
        <v>3500</v>
      </c>
      <c r="G22" s="12" t="s">
        <v>68</v>
      </c>
      <c r="H22" s="9" t="s">
        <v>69</v>
      </c>
    </row>
    <row r="23" customFormat="false" ht="15" hidden="false" customHeight="false" outlineLevel="0" collapsed="false">
      <c r="A23" s="6" t="n">
        <v>15</v>
      </c>
      <c r="B23" s="9" t="s">
        <v>70</v>
      </c>
      <c r="C23" s="8" t="n">
        <v>8</v>
      </c>
      <c r="D23" s="9" t="s">
        <v>71</v>
      </c>
      <c r="E23" s="10" t="n">
        <v>520</v>
      </c>
      <c r="F23" s="11" t="n">
        <f aca="false">C23*E23</f>
        <v>4160</v>
      </c>
      <c r="G23" s="12" t="s">
        <v>72</v>
      </c>
      <c r="H23" s="9" t="s">
        <v>73</v>
      </c>
    </row>
    <row r="24" customFormat="false" ht="15" hidden="false" customHeight="false" outlineLevel="0" collapsed="false">
      <c r="A24" s="6" t="n">
        <v>16</v>
      </c>
      <c r="B24" s="9" t="s">
        <v>74</v>
      </c>
      <c r="C24" s="8" t="n">
        <v>2</v>
      </c>
      <c r="D24" s="9" t="s">
        <v>75</v>
      </c>
      <c r="E24" s="10" t="n">
        <v>2200</v>
      </c>
      <c r="F24" s="11" t="n">
        <f aca="false">C24*E24</f>
        <v>4400</v>
      </c>
      <c r="G24" s="12" t="s">
        <v>76</v>
      </c>
      <c r="H24" s="9" t="s">
        <v>77</v>
      </c>
    </row>
    <row r="25" customFormat="false" ht="25.35" hidden="false" customHeight="false" outlineLevel="0" collapsed="false">
      <c r="A25" s="6" t="n">
        <v>17</v>
      </c>
      <c r="B25" s="9" t="s">
        <v>78</v>
      </c>
      <c r="C25" s="8" t="n">
        <v>100</v>
      </c>
      <c r="D25" s="9" t="s">
        <v>79</v>
      </c>
      <c r="E25" s="10" t="n">
        <v>44</v>
      </c>
      <c r="F25" s="11" t="n">
        <f aca="false">C25*E25</f>
        <v>4400</v>
      </c>
      <c r="G25" s="12" t="s">
        <v>80</v>
      </c>
      <c r="H25" s="9" t="s">
        <v>81</v>
      </c>
    </row>
    <row r="26" customFormat="false" ht="25.35" hidden="false" customHeight="false" outlineLevel="0" collapsed="false">
      <c r="A26" s="6" t="n">
        <v>18</v>
      </c>
      <c r="B26" s="9" t="s">
        <v>82</v>
      </c>
      <c r="C26" s="8" t="n">
        <v>1</v>
      </c>
      <c r="D26" s="9" t="s">
        <v>83</v>
      </c>
      <c r="E26" s="10" t="n">
        <v>7150</v>
      </c>
      <c r="F26" s="11" t="n">
        <f aca="false">C26*E26</f>
        <v>7150</v>
      </c>
      <c r="G26" s="12" t="s">
        <v>84</v>
      </c>
      <c r="H26" s="9" t="s">
        <v>85</v>
      </c>
    </row>
    <row r="27" customFormat="false" ht="15" hidden="false" customHeight="false" outlineLevel="0" collapsed="false">
      <c r="A27" s="6" t="n">
        <v>19</v>
      </c>
      <c r="B27" s="9" t="s">
        <v>86</v>
      </c>
      <c r="C27" s="8" t="n">
        <v>9</v>
      </c>
      <c r="D27" s="9" t="s">
        <v>87</v>
      </c>
      <c r="E27" s="10" t="n">
        <v>165</v>
      </c>
      <c r="F27" s="11" t="n">
        <f aca="false">C27*E27</f>
        <v>1485</v>
      </c>
      <c r="G27" s="12" t="s">
        <v>88</v>
      </c>
      <c r="H27" s="9" t="s">
        <v>89</v>
      </c>
    </row>
    <row r="28" customFormat="false" ht="15" hidden="false" customHeight="false" outlineLevel="0" collapsed="false">
      <c r="A28" s="6" t="n">
        <v>20</v>
      </c>
      <c r="B28" s="9" t="s">
        <v>90</v>
      </c>
      <c r="C28" s="8" t="n">
        <v>10</v>
      </c>
      <c r="D28" s="9" t="s">
        <v>91</v>
      </c>
      <c r="E28" s="10" t="n">
        <v>25</v>
      </c>
      <c r="F28" s="11" t="n">
        <f aca="false">C28*E28</f>
        <v>250</v>
      </c>
      <c r="G28" s="12" t="s">
        <v>92</v>
      </c>
      <c r="H28" s="9" t="s">
        <v>93</v>
      </c>
    </row>
    <row r="29" customFormat="false" ht="15" hidden="false" customHeight="false" outlineLevel="0" collapsed="false">
      <c r="A29" s="6" t="n">
        <v>21</v>
      </c>
      <c r="B29" s="9" t="s">
        <v>94</v>
      </c>
      <c r="C29" s="8" t="n">
        <v>10</v>
      </c>
      <c r="D29" s="9" t="s">
        <v>95</v>
      </c>
      <c r="E29" s="10" t="n">
        <v>25</v>
      </c>
      <c r="F29" s="11" t="n">
        <f aca="false">C29*E29</f>
        <v>250</v>
      </c>
      <c r="G29" s="12" t="s">
        <v>96</v>
      </c>
      <c r="H29" s="9" t="s">
        <v>97</v>
      </c>
    </row>
    <row r="30" customFormat="false" ht="15" hidden="false" customHeight="false" outlineLevel="0" collapsed="false">
      <c r="A30" s="6" t="n">
        <v>22</v>
      </c>
      <c r="B30" s="9" t="s">
        <v>98</v>
      </c>
      <c r="C30" s="8" t="n">
        <v>10</v>
      </c>
      <c r="D30" s="9" t="s">
        <v>99</v>
      </c>
      <c r="E30" s="10" t="n">
        <v>25</v>
      </c>
      <c r="F30" s="11" t="n">
        <f aca="false">C30*E30</f>
        <v>250</v>
      </c>
      <c r="G30" s="12" t="s">
        <v>100</v>
      </c>
      <c r="H30" s="9" t="s">
        <v>101</v>
      </c>
    </row>
    <row r="31" customFormat="false" ht="15" hidden="false" customHeight="false" outlineLevel="0" collapsed="false">
      <c r="A31" s="6" t="n">
        <v>23</v>
      </c>
      <c r="B31" s="9" t="s">
        <v>102</v>
      </c>
      <c r="C31" s="8" t="n">
        <v>10</v>
      </c>
      <c r="D31" s="9" t="s">
        <v>103</v>
      </c>
      <c r="E31" s="10" t="n">
        <v>25</v>
      </c>
      <c r="F31" s="11" t="n">
        <f aca="false">C31*E31</f>
        <v>250</v>
      </c>
      <c r="G31" s="12" t="s">
        <v>104</v>
      </c>
      <c r="H31" s="9" t="s">
        <v>105</v>
      </c>
    </row>
    <row r="32" customFormat="false" ht="25.35" hidden="false" customHeight="false" outlineLevel="0" collapsed="false">
      <c r="A32" s="6" t="n">
        <v>24</v>
      </c>
      <c r="B32" s="9" t="s">
        <v>106</v>
      </c>
      <c r="C32" s="8" t="n">
        <v>10</v>
      </c>
      <c r="D32" s="9" t="s">
        <v>107</v>
      </c>
      <c r="E32" s="10" t="n">
        <v>44</v>
      </c>
      <c r="F32" s="11" t="n">
        <f aca="false">C32*E32</f>
        <v>440</v>
      </c>
      <c r="G32" s="12" t="s">
        <v>108</v>
      </c>
      <c r="H32" s="9" t="s">
        <v>109</v>
      </c>
    </row>
    <row r="33" customFormat="false" ht="15" hidden="false" customHeight="false" outlineLevel="0" collapsed="false">
      <c r="A33" s="13"/>
      <c r="B33" s="13"/>
      <c r="C33" s="13"/>
      <c r="D33" s="14" t="s">
        <v>110</v>
      </c>
      <c r="E33" s="13"/>
      <c r="F33" s="15" t="n">
        <f aca="false">SUM(F19:F32)</f>
        <v>150035</v>
      </c>
      <c r="G33" s="13"/>
      <c r="H33" s="13"/>
    </row>
    <row r="34" customFormat="false" ht="15" hidden="false" customHeight="false" outlineLevel="0" collapsed="false">
      <c r="A34" s="4" t="s">
        <v>111</v>
      </c>
      <c r="B34" s="5"/>
      <c r="C34" s="5"/>
      <c r="D34" s="5"/>
      <c r="E34" s="5"/>
      <c r="F34" s="5"/>
      <c r="G34" s="5"/>
      <c r="H34" s="5"/>
    </row>
    <row r="35" customFormat="false" ht="15" hidden="false" customHeight="false" outlineLevel="0" collapsed="false">
      <c r="A35" s="6" t="n">
        <v>25</v>
      </c>
      <c r="B35" s="9" t="s">
        <v>112</v>
      </c>
      <c r="C35" s="8" t="n">
        <v>4</v>
      </c>
      <c r="D35" s="9" t="s">
        <v>113</v>
      </c>
      <c r="E35" s="10" t="n">
        <v>8610</v>
      </c>
      <c r="F35" s="11" t="n">
        <f aca="false">C35*E35</f>
        <v>34440</v>
      </c>
      <c r="G35" s="12" t="s">
        <v>114</v>
      </c>
      <c r="H35" s="9" t="s">
        <v>115</v>
      </c>
    </row>
    <row r="36" customFormat="false" ht="15" hidden="false" customHeight="false" outlineLevel="0" collapsed="false">
      <c r="A36" s="6" t="n">
        <v>26</v>
      </c>
      <c r="B36" s="9" t="s">
        <v>116</v>
      </c>
      <c r="C36" s="8" t="n">
        <v>2</v>
      </c>
      <c r="D36" s="9" t="s">
        <v>117</v>
      </c>
      <c r="E36" s="10" t="n">
        <v>1500</v>
      </c>
      <c r="F36" s="11" t="n">
        <f aca="false">C36*E36</f>
        <v>3000</v>
      </c>
      <c r="G36" s="12" t="s">
        <v>118</v>
      </c>
      <c r="H36" s="9" t="s">
        <v>119</v>
      </c>
    </row>
    <row r="37" customFormat="false" ht="15" hidden="false" customHeight="false" outlineLevel="0" collapsed="false">
      <c r="A37" s="6" t="n">
        <v>27</v>
      </c>
      <c r="B37" s="9" t="s">
        <v>120</v>
      </c>
      <c r="C37" s="8" t="n">
        <v>2</v>
      </c>
      <c r="D37" s="9" t="s">
        <v>121</v>
      </c>
      <c r="E37" s="10" t="n">
        <v>1500</v>
      </c>
      <c r="F37" s="11" t="n">
        <f aca="false">C37*E37</f>
        <v>3000</v>
      </c>
      <c r="G37" s="12" t="s">
        <v>118</v>
      </c>
      <c r="H37" s="9" t="s">
        <v>119</v>
      </c>
    </row>
    <row r="38" customFormat="false" ht="25.35" hidden="false" customHeight="false" outlineLevel="0" collapsed="false">
      <c r="A38" s="6" t="n">
        <v>28</v>
      </c>
      <c r="B38" s="9" t="s">
        <v>122</v>
      </c>
      <c r="C38" s="8" t="n">
        <v>100</v>
      </c>
      <c r="D38" s="9" t="s">
        <v>123</v>
      </c>
      <c r="E38" s="10" t="n">
        <v>11</v>
      </c>
      <c r="F38" s="11" t="n">
        <f aca="false">C38*E38</f>
        <v>1100</v>
      </c>
      <c r="G38" s="12" t="s">
        <v>124</v>
      </c>
      <c r="H38" s="9" t="s">
        <v>125</v>
      </c>
    </row>
    <row r="39" customFormat="false" ht="15" hidden="false" customHeight="false" outlineLevel="0" collapsed="false">
      <c r="A39" s="6" t="n">
        <v>29</v>
      </c>
      <c r="B39" s="9" t="s">
        <v>126</v>
      </c>
      <c r="C39" s="8" t="n">
        <v>100</v>
      </c>
      <c r="D39" s="9" t="s">
        <v>127</v>
      </c>
      <c r="E39" s="10" t="n">
        <v>11</v>
      </c>
      <c r="F39" s="11" t="n">
        <f aca="false">C39*E39</f>
        <v>1100</v>
      </c>
      <c r="G39" s="12" t="s">
        <v>128</v>
      </c>
      <c r="H39" s="9" t="s">
        <v>129</v>
      </c>
    </row>
    <row r="40" customFormat="false" ht="25.35" hidden="false" customHeight="false" outlineLevel="0" collapsed="false">
      <c r="A40" s="6" t="n">
        <v>30</v>
      </c>
      <c r="B40" s="9" t="s">
        <v>130</v>
      </c>
      <c r="C40" s="8" t="n">
        <v>1</v>
      </c>
      <c r="D40" s="9" t="s">
        <v>131</v>
      </c>
      <c r="E40" s="10" t="n">
        <v>16600</v>
      </c>
      <c r="F40" s="11" t="n">
        <f aca="false">C40*E40</f>
        <v>16600</v>
      </c>
      <c r="G40" s="12" t="s">
        <v>132</v>
      </c>
      <c r="H40" s="9" t="s">
        <v>133</v>
      </c>
    </row>
    <row r="41" customFormat="false" ht="25.35" hidden="false" customHeight="false" outlineLevel="0" collapsed="false">
      <c r="A41" s="6" t="n">
        <v>31</v>
      </c>
      <c r="B41" s="9" t="s">
        <v>134</v>
      </c>
      <c r="C41" s="8" t="n">
        <v>100</v>
      </c>
      <c r="D41" s="9" t="s">
        <v>135</v>
      </c>
      <c r="E41" s="10" t="n">
        <v>310</v>
      </c>
      <c r="F41" s="11" t="n">
        <f aca="false">C41*E41</f>
        <v>31000</v>
      </c>
      <c r="G41" s="12" t="s">
        <v>136</v>
      </c>
      <c r="H41" s="9" t="s">
        <v>137</v>
      </c>
    </row>
    <row r="42" customFormat="false" ht="15" hidden="false" customHeight="false" outlineLevel="0" collapsed="false">
      <c r="A42" s="6" t="n">
        <v>32</v>
      </c>
      <c r="B42" s="9" t="s">
        <v>138</v>
      </c>
      <c r="C42" s="8" t="n">
        <v>1</v>
      </c>
      <c r="D42" s="9" t="s">
        <v>139</v>
      </c>
      <c r="E42" s="10" t="n">
        <v>13800</v>
      </c>
      <c r="F42" s="11" t="n">
        <f aca="false">C42*E42</f>
        <v>13800</v>
      </c>
      <c r="G42" s="12" t="s">
        <v>140</v>
      </c>
      <c r="H42" s="9" t="s">
        <v>141</v>
      </c>
    </row>
    <row r="43" customFormat="false" ht="15" hidden="false" customHeight="false" outlineLevel="0" collapsed="false">
      <c r="A43" s="6" t="n">
        <v>33</v>
      </c>
      <c r="B43" s="9" t="s">
        <v>142</v>
      </c>
      <c r="C43" s="8" t="n">
        <v>1</v>
      </c>
      <c r="D43" s="9" t="s">
        <v>143</v>
      </c>
      <c r="E43" s="10" t="n">
        <v>6900</v>
      </c>
      <c r="F43" s="11" t="n">
        <f aca="false">C43*E43</f>
        <v>6900</v>
      </c>
      <c r="G43" s="12" t="s">
        <v>144</v>
      </c>
      <c r="H43" s="9" t="s">
        <v>145</v>
      </c>
    </row>
    <row r="44" customFormat="false" ht="25.35" hidden="false" customHeight="false" outlineLevel="0" collapsed="false">
      <c r="A44" s="6" t="n">
        <v>34</v>
      </c>
      <c r="B44" s="9" t="s">
        <v>146</v>
      </c>
      <c r="C44" s="8" t="n">
        <v>1</v>
      </c>
      <c r="D44" s="9" t="s">
        <v>147</v>
      </c>
      <c r="E44" s="10" t="n">
        <v>3399</v>
      </c>
      <c r="F44" s="11" t="n">
        <f aca="false">C44*E44</f>
        <v>3399</v>
      </c>
      <c r="G44" s="12" t="s">
        <v>148</v>
      </c>
      <c r="H44" s="9" t="s">
        <v>149</v>
      </c>
    </row>
    <row r="45" customFormat="false" ht="15" hidden="false" customHeight="false" outlineLevel="0" collapsed="false">
      <c r="A45" s="6" t="n">
        <v>35</v>
      </c>
      <c r="B45" s="9" t="s">
        <v>150</v>
      </c>
      <c r="C45" s="8" t="n">
        <v>1</v>
      </c>
      <c r="D45" s="9" t="s">
        <v>151</v>
      </c>
      <c r="E45" s="10" t="n">
        <v>16489</v>
      </c>
      <c r="F45" s="11" t="n">
        <f aca="false">C45*E45</f>
        <v>16489</v>
      </c>
      <c r="G45" s="12" t="s">
        <v>152</v>
      </c>
      <c r="H45" s="9" t="s">
        <v>153</v>
      </c>
    </row>
    <row r="46" customFormat="false" ht="15" hidden="false" customHeight="false" outlineLevel="0" collapsed="false">
      <c r="A46" s="6" t="n">
        <v>36</v>
      </c>
      <c r="B46" s="9" t="s">
        <v>154</v>
      </c>
      <c r="C46" s="8" t="n">
        <v>1</v>
      </c>
      <c r="D46" s="9" t="s">
        <v>155</v>
      </c>
      <c r="E46" s="10" t="n">
        <v>1500</v>
      </c>
      <c r="F46" s="11" t="n">
        <f aca="false">C46*E46</f>
        <v>1500</v>
      </c>
      <c r="G46" s="12" t="s">
        <v>156</v>
      </c>
      <c r="H46" s="9" t="s">
        <v>157</v>
      </c>
    </row>
    <row r="47" customFormat="false" ht="15" hidden="false" customHeight="false" outlineLevel="0" collapsed="false">
      <c r="A47" s="13"/>
      <c r="B47" s="13"/>
      <c r="C47" s="13"/>
      <c r="D47" s="14" t="s">
        <v>158</v>
      </c>
      <c r="E47" s="13"/>
      <c r="F47" s="15" t="n">
        <f aca="false">SUM(F35:F46)</f>
        <v>132328</v>
      </c>
      <c r="G47" s="13"/>
      <c r="H47" s="13"/>
    </row>
    <row r="48" customFormat="false" ht="15" hidden="false" customHeight="false" outlineLevel="0" collapsed="false">
      <c r="A48" s="4" t="s">
        <v>159</v>
      </c>
      <c r="B48" s="5"/>
      <c r="C48" s="5"/>
      <c r="D48" s="5"/>
      <c r="E48" s="5"/>
      <c r="F48" s="5"/>
      <c r="G48" s="5"/>
      <c r="H48" s="5"/>
    </row>
    <row r="49" customFormat="false" ht="25.35" hidden="false" customHeight="false" outlineLevel="0" collapsed="false">
      <c r="A49" s="6" t="n">
        <v>37</v>
      </c>
      <c r="B49" s="9" t="s">
        <v>160</v>
      </c>
      <c r="C49" s="8" t="n">
        <v>1</v>
      </c>
      <c r="D49" s="9" t="s">
        <v>161</v>
      </c>
      <c r="E49" s="10" t="n">
        <v>2750</v>
      </c>
      <c r="F49" s="11" t="n">
        <f aca="false">C49*E49</f>
        <v>2750</v>
      </c>
      <c r="G49" s="12" t="s">
        <v>162</v>
      </c>
      <c r="H49" s="9" t="s">
        <v>163</v>
      </c>
    </row>
    <row r="50" customFormat="false" ht="25.35" hidden="false" customHeight="false" outlineLevel="0" collapsed="false">
      <c r="A50" s="6" t="n">
        <v>38</v>
      </c>
      <c r="B50" s="9" t="s">
        <v>164</v>
      </c>
      <c r="C50" s="8" t="n">
        <v>2</v>
      </c>
      <c r="D50" s="9" t="s">
        <v>165</v>
      </c>
      <c r="E50" s="10" t="n">
        <v>9600</v>
      </c>
      <c r="F50" s="11" t="n">
        <f aca="false">C50*E50</f>
        <v>19200</v>
      </c>
      <c r="G50" s="12" t="s">
        <v>166</v>
      </c>
      <c r="H50" s="9" t="s">
        <v>167</v>
      </c>
    </row>
    <row r="51" customFormat="false" ht="15" hidden="false" customHeight="false" outlineLevel="0" collapsed="false">
      <c r="A51" s="6" t="n">
        <v>39</v>
      </c>
      <c r="B51" s="9" t="s">
        <v>168</v>
      </c>
      <c r="C51" s="8" t="n">
        <v>1</v>
      </c>
      <c r="D51" s="9" t="s">
        <v>169</v>
      </c>
      <c r="E51" s="10" t="n">
        <v>14900</v>
      </c>
      <c r="F51" s="11" t="n">
        <f aca="false">C51*E51</f>
        <v>14900</v>
      </c>
      <c r="G51" s="12" t="s">
        <v>170</v>
      </c>
      <c r="H51" s="9" t="s">
        <v>171</v>
      </c>
    </row>
    <row r="52" customFormat="false" ht="15" hidden="false" customHeight="false" outlineLevel="0" collapsed="false">
      <c r="A52" s="6" t="n">
        <v>40</v>
      </c>
      <c r="B52" s="9" t="s">
        <v>172</v>
      </c>
      <c r="C52" s="8" t="n">
        <v>1</v>
      </c>
      <c r="D52" s="9" t="s">
        <v>173</v>
      </c>
      <c r="E52" s="10" t="n">
        <v>1700</v>
      </c>
      <c r="F52" s="11" t="n">
        <f aca="false">C52*E52</f>
        <v>1700</v>
      </c>
      <c r="G52" s="12" t="s">
        <v>174</v>
      </c>
      <c r="H52" s="9" t="s">
        <v>175</v>
      </c>
    </row>
    <row r="53" customFormat="false" ht="15" hidden="false" customHeight="false" outlineLevel="0" collapsed="false">
      <c r="A53" s="6" t="n">
        <v>41</v>
      </c>
      <c r="B53" s="9" t="s">
        <v>176</v>
      </c>
      <c r="C53" s="8" t="n">
        <v>3</v>
      </c>
      <c r="D53" s="9" t="s">
        <v>177</v>
      </c>
      <c r="E53" s="10" t="n">
        <v>198</v>
      </c>
      <c r="F53" s="11" t="n">
        <f aca="false">C53*E53</f>
        <v>594</v>
      </c>
      <c r="G53" s="12" t="s">
        <v>178</v>
      </c>
      <c r="H53" s="9" t="s">
        <v>179</v>
      </c>
    </row>
    <row r="54" customFormat="false" ht="15" hidden="false" customHeight="false" outlineLevel="0" collapsed="false">
      <c r="A54" s="6" t="n">
        <v>42</v>
      </c>
      <c r="B54" s="9" t="s">
        <v>180</v>
      </c>
      <c r="C54" s="8" t="n">
        <v>5</v>
      </c>
      <c r="D54" s="9" t="s">
        <v>181</v>
      </c>
      <c r="E54" s="10" t="n">
        <v>133</v>
      </c>
      <c r="F54" s="11" t="n">
        <f aca="false">C54*E54</f>
        <v>665</v>
      </c>
      <c r="G54" s="12" t="s">
        <v>182</v>
      </c>
      <c r="H54" s="9" t="s">
        <v>183</v>
      </c>
    </row>
    <row r="55" customFormat="false" ht="15" hidden="false" customHeight="false" outlineLevel="0" collapsed="false">
      <c r="A55" s="6" t="n">
        <v>43</v>
      </c>
      <c r="B55" s="9" t="s">
        <v>184</v>
      </c>
      <c r="C55" s="8" t="n">
        <v>2</v>
      </c>
      <c r="D55" s="9" t="s">
        <v>185</v>
      </c>
      <c r="E55" s="10" t="n">
        <v>1760</v>
      </c>
      <c r="F55" s="11" t="n">
        <f aca="false">C55*E55</f>
        <v>3520</v>
      </c>
      <c r="G55" s="12" t="s">
        <v>186</v>
      </c>
      <c r="H55" s="9" t="s">
        <v>187</v>
      </c>
    </row>
    <row r="56" customFormat="false" ht="15" hidden="false" customHeight="false" outlineLevel="0" collapsed="false">
      <c r="A56" s="6" t="n">
        <v>44</v>
      </c>
      <c r="B56" s="9" t="s">
        <v>188</v>
      </c>
      <c r="C56" s="8" t="n">
        <v>2</v>
      </c>
      <c r="D56" s="9" t="s">
        <v>189</v>
      </c>
      <c r="E56" s="10" t="n">
        <v>1760</v>
      </c>
      <c r="F56" s="11" t="n">
        <f aca="false">C56*E56</f>
        <v>3520</v>
      </c>
      <c r="G56" s="12" t="s">
        <v>190</v>
      </c>
      <c r="H56" s="9" t="s">
        <v>191</v>
      </c>
    </row>
    <row r="57" customFormat="false" ht="15" hidden="false" customHeight="false" outlineLevel="0" collapsed="false">
      <c r="A57" s="6" t="n">
        <v>45</v>
      </c>
      <c r="B57" s="9" t="s">
        <v>192</v>
      </c>
      <c r="C57" s="8" t="n">
        <v>1</v>
      </c>
      <c r="D57" s="9" t="s">
        <v>193</v>
      </c>
      <c r="E57" s="10" t="n">
        <v>17680</v>
      </c>
      <c r="F57" s="11" t="n">
        <f aca="false">C57*E57</f>
        <v>17680</v>
      </c>
      <c r="G57" s="12" t="s">
        <v>194</v>
      </c>
      <c r="H57" s="9" t="s">
        <v>195</v>
      </c>
    </row>
    <row r="58" customFormat="false" ht="15" hidden="false" customHeight="false" outlineLevel="0" collapsed="false">
      <c r="A58" s="6" t="n">
        <v>46</v>
      </c>
      <c r="B58" s="9" t="s">
        <v>196</v>
      </c>
      <c r="C58" s="8" t="n">
        <v>1</v>
      </c>
      <c r="D58" s="9" t="s">
        <v>197</v>
      </c>
      <c r="E58" s="10" t="n">
        <v>2700</v>
      </c>
      <c r="F58" s="11" t="n">
        <f aca="false">C58*E58</f>
        <v>2700</v>
      </c>
      <c r="G58" s="12" t="s">
        <v>198</v>
      </c>
      <c r="H58" s="9" t="s">
        <v>199</v>
      </c>
    </row>
    <row r="59" customFormat="false" ht="15" hidden="false" customHeight="false" outlineLevel="0" collapsed="false">
      <c r="A59" s="13"/>
      <c r="B59" s="13"/>
      <c r="C59" s="13"/>
      <c r="D59" s="14" t="s">
        <v>200</v>
      </c>
      <c r="E59" s="13"/>
      <c r="F59" s="15" t="n">
        <f aca="false">SUM(F49:F58)</f>
        <v>67229</v>
      </c>
      <c r="G59" s="13"/>
      <c r="H59" s="13"/>
    </row>
    <row r="60" customFormat="false" ht="15" hidden="false" customHeight="false" outlineLevel="0" collapsed="false">
      <c r="A60" s="4" t="s">
        <v>201</v>
      </c>
      <c r="B60" s="5"/>
      <c r="C60" s="5"/>
      <c r="D60" s="5"/>
      <c r="E60" s="5"/>
      <c r="F60" s="5"/>
      <c r="G60" s="5"/>
      <c r="H60" s="5"/>
    </row>
    <row r="61" customFormat="false" ht="15" hidden="false" customHeight="false" outlineLevel="0" collapsed="false">
      <c r="A61" s="6" t="n">
        <v>47</v>
      </c>
      <c r="B61" s="9" t="s">
        <v>202</v>
      </c>
      <c r="C61" s="8" t="n">
        <v>1</v>
      </c>
      <c r="D61" s="9" t="s">
        <v>203</v>
      </c>
      <c r="E61" s="10" t="n">
        <v>22520</v>
      </c>
      <c r="F61" s="11" t="n">
        <f aca="false">C61*E61</f>
        <v>22520</v>
      </c>
      <c r="G61" s="12" t="s">
        <v>194</v>
      </c>
      <c r="H61" s="9" t="s">
        <v>204</v>
      </c>
    </row>
    <row r="62" customFormat="false" ht="15" hidden="false" customHeight="false" outlineLevel="0" collapsed="false">
      <c r="A62" s="6" t="n">
        <v>48</v>
      </c>
      <c r="B62" s="9" t="s">
        <v>205</v>
      </c>
      <c r="C62" s="8" t="n">
        <v>2</v>
      </c>
      <c r="D62" s="9" t="s">
        <v>206</v>
      </c>
      <c r="E62" s="10" t="n">
        <v>2400</v>
      </c>
      <c r="F62" s="11" t="n">
        <f aca="false">C62*E62</f>
        <v>4800</v>
      </c>
      <c r="G62" s="12" t="s">
        <v>207</v>
      </c>
      <c r="H62" s="9" t="s">
        <v>208</v>
      </c>
    </row>
    <row r="63" customFormat="false" ht="15" hidden="false" customHeight="false" outlineLevel="0" collapsed="false">
      <c r="A63" s="6" t="n">
        <v>49</v>
      </c>
      <c r="B63" s="9" t="s">
        <v>209</v>
      </c>
      <c r="C63" s="8" t="n">
        <v>14</v>
      </c>
      <c r="D63" s="9" t="s">
        <v>210</v>
      </c>
      <c r="E63" s="10" t="n">
        <v>160</v>
      </c>
      <c r="F63" s="11" t="n">
        <f aca="false">C63*E63</f>
        <v>2240</v>
      </c>
      <c r="G63" s="12" t="s">
        <v>211</v>
      </c>
      <c r="H63" s="9" t="s">
        <v>212</v>
      </c>
    </row>
    <row r="64" customFormat="false" ht="25.35" hidden="false" customHeight="false" outlineLevel="0" collapsed="false">
      <c r="A64" s="6" t="n">
        <v>50</v>
      </c>
      <c r="B64" s="9" t="s">
        <v>213</v>
      </c>
      <c r="C64" s="8" t="n">
        <v>2</v>
      </c>
      <c r="D64" s="9" t="s">
        <v>214</v>
      </c>
      <c r="E64" s="10" t="n">
        <v>3000</v>
      </c>
      <c r="F64" s="11" t="n">
        <f aca="false">C64*E64</f>
        <v>6000</v>
      </c>
      <c r="G64" s="12" t="s">
        <v>215</v>
      </c>
      <c r="H64" s="9" t="s">
        <v>216</v>
      </c>
    </row>
    <row r="65" customFormat="false" ht="15" hidden="false" customHeight="false" outlineLevel="0" collapsed="false">
      <c r="A65" s="6" t="n">
        <v>51</v>
      </c>
      <c r="B65" s="9" t="s">
        <v>217</v>
      </c>
      <c r="C65" s="8" t="n">
        <v>20</v>
      </c>
      <c r="D65" s="9" t="s">
        <v>218</v>
      </c>
      <c r="E65" s="10" t="n">
        <v>583</v>
      </c>
      <c r="F65" s="11" t="n">
        <f aca="false">C65*E65</f>
        <v>11660</v>
      </c>
      <c r="G65" s="12" t="s">
        <v>219</v>
      </c>
      <c r="H65" s="9" t="s">
        <v>220</v>
      </c>
    </row>
    <row r="66" customFormat="false" ht="15" hidden="false" customHeight="false" outlineLevel="0" collapsed="false">
      <c r="A66" s="6" t="n">
        <v>52</v>
      </c>
      <c r="B66" s="9" t="s">
        <v>221</v>
      </c>
      <c r="C66" s="8" t="n">
        <v>1</v>
      </c>
      <c r="D66" s="9" t="s">
        <v>222</v>
      </c>
      <c r="E66" s="10" t="n">
        <v>4500</v>
      </c>
      <c r="F66" s="11" t="n">
        <f aca="false">C66*E66</f>
        <v>4500</v>
      </c>
      <c r="G66" s="12" t="s">
        <v>223</v>
      </c>
      <c r="H66" s="9" t="s">
        <v>224</v>
      </c>
    </row>
    <row r="67" customFormat="false" ht="15" hidden="false" customHeight="false" outlineLevel="0" collapsed="false">
      <c r="A67" s="6" t="n">
        <v>53</v>
      </c>
      <c r="B67" s="9" t="s">
        <v>225</v>
      </c>
      <c r="C67" s="8" t="n">
        <v>3</v>
      </c>
      <c r="D67" s="9" t="s">
        <v>226</v>
      </c>
      <c r="E67" s="10" t="n">
        <v>2100</v>
      </c>
      <c r="F67" s="11" t="n">
        <f aca="false">C67*E67</f>
        <v>6300</v>
      </c>
      <c r="G67" s="12" t="s">
        <v>227</v>
      </c>
      <c r="H67" s="9" t="s">
        <v>228</v>
      </c>
    </row>
    <row r="68" customFormat="false" ht="15" hidden="false" customHeight="false" outlineLevel="0" collapsed="false">
      <c r="A68" s="6" t="n">
        <v>54</v>
      </c>
      <c r="B68" s="9" t="s">
        <v>229</v>
      </c>
      <c r="C68" s="8" t="n">
        <v>50</v>
      </c>
      <c r="D68" s="9" t="s">
        <v>230</v>
      </c>
      <c r="E68" s="10" t="n">
        <v>60</v>
      </c>
      <c r="F68" s="11" t="n">
        <f aca="false">C68*E68</f>
        <v>3000</v>
      </c>
      <c r="G68" s="12" t="s">
        <v>231</v>
      </c>
      <c r="H68" s="9" t="s">
        <v>232</v>
      </c>
    </row>
    <row r="69" customFormat="false" ht="15" hidden="false" customHeight="false" outlineLevel="0" collapsed="false">
      <c r="A69" s="6" t="n">
        <v>55</v>
      </c>
      <c r="B69" s="9" t="s">
        <v>233</v>
      </c>
      <c r="C69" s="8" t="n">
        <v>20</v>
      </c>
      <c r="D69" s="9" t="s">
        <v>234</v>
      </c>
      <c r="E69" s="10" t="n">
        <v>40</v>
      </c>
      <c r="F69" s="11" t="n">
        <f aca="false">C69*E69</f>
        <v>800</v>
      </c>
      <c r="G69" s="12" t="s">
        <v>231</v>
      </c>
      <c r="H69" s="9" t="s">
        <v>235</v>
      </c>
    </row>
    <row r="70" customFormat="false" ht="15" hidden="false" customHeight="false" outlineLevel="0" collapsed="false">
      <c r="A70" s="6" t="n">
        <v>56</v>
      </c>
      <c r="B70" s="9" t="s">
        <v>236</v>
      </c>
      <c r="C70" s="8" t="n">
        <v>6</v>
      </c>
      <c r="D70" s="9" t="s">
        <v>237</v>
      </c>
      <c r="E70" s="10" t="n">
        <v>200</v>
      </c>
      <c r="F70" s="11" t="n">
        <f aca="false">C70*E70</f>
        <v>1200</v>
      </c>
      <c r="G70" s="12" t="s">
        <v>231</v>
      </c>
      <c r="H70" s="9" t="s">
        <v>238</v>
      </c>
    </row>
    <row r="71" customFormat="false" ht="15" hidden="false" customHeight="false" outlineLevel="0" collapsed="false">
      <c r="A71" s="6" t="n">
        <v>57</v>
      </c>
      <c r="B71" s="9" t="s">
        <v>239</v>
      </c>
      <c r="C71" s="8" t="n">
        <v>20</v>
      </c>
      <c r="D71" s="9" t="s">
        <v>240</v>
      </c>
      <c r="E71" s="10" t="n">
        <v>10</v>
      </c>
      <c r="F71" s="11" t="n">
        <f aca="false">C71*E71</f>
        <v>200</v>
      </c>
      <c r="G71" s="12" t="s">
        <v>231</v>
      </c>
      <c r="H71" s="9" t="s">
        <v>241</v>
      </c>
    </row>
    <row r="72" customFormat="false" ht="15" hidden="false" customHeight="false" outlineLevel="0" collapsed="false">
      <c r="A72" s="6" t="n">
        <v>58</v>
      </c>
      <c r="B72" s="9" t="s">
        <v>242</v>
      </c>
      <c r="C72" s="8" t="n">
        <v>54</v>
      </c>
      <c r="D72" s="9" t="s">
        <v>243</v>
      </c>
      <c r="E72" s="10" t="n">
        <v>40</v>
      </c>
      <c r="F72" s="11" t="n">
        <f aca="false">C72*E72</f>
        <v>2160</v>
      </c>
      <c r="G72" s="12" t="s">
        <v>244</v>
      </c>
      <c r="H72" s="9" t="s">
        <v>245</v>
      </c>
    </row>
    <row r="73" customFormat="false" ht="15" hidden="false" customHeight="false" outlineLevel="0" collapsed="false">
      <c r="A73" s="6" t="n">
        <v>59</v>
      </c>
      <c r="B73" s="9" t="s">
        <v>246</v>
      </c>
      <c r="C73" s="8" t="n">
        <v>8</v>
      </c>
      <c r="D73" s="9" t="s">
        <v>247</v>
      </c>
      <c r="E73" s="10" t="n">
        <v>50</v>
      </c>
      <c r="F73" s="11" t="n">
        <f aca="false">C73*E73</f>
        <v>400</v>
      </c>
      <c r="G73" s="12" t="s">
        <v>244</v>
      </c>
      <c r="H73" s="9" t="s">
        <v>248</v>
      </c>
    </row>
    <row r="74" customFormat="false" ht="15" hidden="false" customHeight="false" outlineLevel="0" collapsed="false">
      <c r="A74" s="6" t="n">
        <v>60</v>
      </c>
      <c r="B74" s="9" t="s">
        <v>249</v>
      </c>
      <c r="C74" s="8" t="n">
        <v>8</v>
      </c>
      <c r="D74" s="9" t="s">
        <v>250</v>
      </c>
      <c r="E74" s="10" t="n">
        <v>50</v>
      </c>
      <c r="F74" s="11" t="n">
        <f aca="false">C74*E74</f>
        <v>400</v>
      </c>
      <c r="G74" s="12" t="s">
        <v>244</v>
      </c>
      <c r="H74" s="9" t="s">
        <v>251</v>
      </c>
    </row>
    <row r="75" customFormat="false" ht="15" hidden="false" customHeight="false" outlineLevel="0" collapsed="false">
      <c r="A75" s="13"/>
      <c r="B75" s="13"/>
      <c r="C75" s="13"/>
      <c r="D75" s="14" t="s">
        <v>252</v>
      </c>
      <c r="E75" s="13"/>
      <c r="F75" s="15" t="n">
        <f aca="false">SUM(F61:F74)</f>
        <v>66180</v>
      </c>
      <c r="G75" s="13"/>
      <c r="H75" s="13"/>
    </row>
    <row r="76" customFormat="false" ht="15" hidden="false" customHeight="false" outlineLevel="0" collapsed="false">
      <c r="A76" s="4" t="s">
        <v>253</v>
      </c>
      <c r="B76" s="5"/>
      <c r="C76" s="5"/>
      <c r="D76" s="5"/>
      <c r="E76" s="5"/>
      <c r="F76" s="5"/>
      <c r="G76" s="5"/>
      <c r="H76" s="5"/>
    </row>
    <row r="77" customFormat="false" ht="15" hidden="false" customHeight="false" outlineLevel="0" collapsed="false">
      <c r="A77" s="6" t="n">
        <v>61</v>
      </c>
      <c r="B77" s="9" t="s">
        <v>254</v>
      </c>
      <c r="C77" s="8" t="n">
        <v>1</v>
      </c>
      <c r="D77" s="9" t="s">
        <v>255</v>
      </c>
      <c r="E77" s="10" t="n">
        <v>16150</v>
      </c>
      <c r="F77" s="11" t="n">
        <f aca="false">C77*E77</f>
        <v>16150</v>
      </c>
      <c r="G77" s="12" t="s">
        <v>256</v>
      </c>
      <c r="H77" s="9" t="s">
        <v>257</v>
      </c>
    </row>
    <row r="78" customFormat="false" ht="15" hidden="false" customHeight="false" outlineLevel="0" collapsed="false">
      <c r="A78" s="6" t="n">
        <v>62</v>
      </c>
      <c r="B78" s="9" t="s">
        <v>258</v>
      </c>
      <c r="C78" s="8" t="n">
        <v>1</v>
      </c>
      <c r="D78" s="9" t="s">
        <v>255</v>
      </c>
      <c r="E78" s="10" t="n">
        <v>12750</v>
      </c>
      <c r="F78" s="11" t="n">
        <f aca="false">C78*E78</f>
        <v>12750</v>
      </c>
      <c r="G78" s="12" t="s">
        <v>256</v>
      </c>
      <c r="H78" s="9" t="s">
        <v>259</v>
      </c>
    </row>
    <row r="79" customFormat="false" ht="15" hidden="false" customHeight="false" outlineLevel="0" collapsed="false">
      <c r="A79" s="6" t="n">
        <v>63</v>
      </c>
      <c r="B79" s="9" t="s">
        <v>260</v>
      </c>
      <c r="C79" s="8" t="n">
        <v>5</v>
      </c>
      <c r="D79" s="9" t="s">
        <v>261</v>
      </c>
      <c r="E79" s="10" t="n">
        <v>16150</v>
      </c>
      <c r="F79" s="11" t="n">
        <f aca="false">C79*E79</f>
        <v>80750</v>
      </c>
      <c r="G79" s="12" t="s">
        <v>256</v>
      </c>
      <c r="H79" s="9" t="s">
        <v>262</v>
      </c>
    </row>
    <row r="80" customFormat="false" ht="15" hidden="false" customHeight="false" outlineLevel="0" collapsed="false">
      <c r="A80" s="6" t="n">
        <v>64</v>
      </c>
      <c r="B80" s="9" t="s">
        <v>263</v>
      </c>
      <c r="C80" s="8" t="n">
        <v>1</v>
      </c>
      <c r="D80" s="9" t="s">
        <v>264</v>
      </c>
      <c r="E80" s="10" t="n">
        <v>16150</v>
      </c>
      <c r="F80" s="11" t="n">
        <f aca="false">C80*E80</f>
        <v>16150</v>
      </c>
      <c r="G80" s="12" t="s">
        <v>256</v>
      </c>
      <c r="H80" s="9" t="s">
        <v>265</v>
      </c>
    </row>
    <row r="81" customFormat="false" ht="15" hidden="false" customHeight="false" outlineLevel="0" collapsed="false">
      <c r="A81" s="6" t="n">
        <v>65</v>
      </c>
      <c r="B81" s="9" t="s">
        <v>266</v>
      </c>
      <c r="C81" s="8" t="n">
        <v>8</v>
      </c>
      <c r="D81" s="9" t="s">
        <v>267</v>
      </c>
      <c r="E81" s="10" t="n">
        <v>1620</v>
      </c>
      <c r="F81" s="11" t="n">
        <f aca="false">C81*E81</f>
        <v>12960</v>
      </c>
      <c r="G81" s="12" t="s">
        <v>268</v>
      </c>
      <c r="H81" s="9" t="s">
        <v>269</v>
      </c>
    </row>
    <row r="82" customFormat="false" ht="15" hidden="false" customHeight="false" outlineLevel="0" collapsed="false">
      <c r="A82" s="6" t="n">
        <v>66</v>
      </c>
      <c r="B82" s="9" t="s">
        <v>270</v>
      </c>
      <c r="C82" s="8" t="n">
        <v>2</v>
      </c>
      <c r="D82" s="9" t="s">
        <v>271</v>
      </c>
      <c r="E82" s="10" t="n">
        <v>1529</v>
      </c>
      <c r="F82" s="11" t="n">
        <f aca="false">C82*E82</f>
        <v>3058</v>
      </c>
      <c r="G82" s="12" t="s">
        <v>272</v>
      </c>
      <c r="H82" s="9" t="s">
        <v>273</v>
      </c>
    </row>
    <row r="83" customFormat="false" ht="15" hidden="false" customHeight="false" outlineLevel="0" collapsed="false">
      <c r="A83" s="6" t="n">
        <v>67</v>
      </c>
      <c r="B83" s="9" t="s">
        <v>274</v>
      </c>
      <c r="C83" s="8" t="n">
        <v>1</v>
      </c>
      <c r="D83" s="9" t="s">
        <v>275</v>
      </c>
      <c r="E83" s="10" t="n">
        <v>1529</v>
      </c>
      <c r="F83" s="11" t="n">
        <f aca="false">C83*E83</f>
        <v>1529</v>
      </c>
      <c r="G83" s="12" t="s">
        <v>272</v>
      </c>
      <c r="H83" s="9" t="s">
        <v>273</v>
      </c>
    </row>
    <row r="84" customFormat="false" ht="25.35" hidden="false" customHeight="false" outlineLevel="0" collapsed="false">
      <c r="A84" s="6" t="n">
        <v>68</v>
      </c>
      <c r="B84" s="9" t="s">
        <v>276</v>
      </c>
      <c r="C84" s="8" t="n">
        <v>1</v>
      </c>
      <c r="D84" s="9" t="s">
        <v>277</v>
      </c>
      <c r="E84" s="10" t="n">
        <v>14300</v>
      </c>
      <c r="F84" s="11" t="n">
        <f aca="false">C84*E84</f>
        <v>14300</v>
      </c>
      <c r="G84" s="12" t="s">
        <v>278</v>
      </c>
      <c r="H84" s="9" t="s">
        <v>279</v>
      </c>
    </row>
    <row r="85" customFormat="false" ht="15" hidden="false" customHeight="false" outlineLevel="0" collapsed="false">
      <c r="A85" s="6" t="n">
        <v>69</v>
      </c>
      <c r="B85" s="9" t="s">
        <v>280</v>
      </c>
      <c r="C85" s="8" t="n">
        <v>2</v>
      </c>
      <c r="D85" s="9" t="s">
        <v>281</v>
      </c>
      <c r="E85" s="10" t="n">
        <v>1710</v>
      </c>
      <c r="F85" s="11" t="n">
        <f aca="false">C85*E85</f>
        <v>3420</v>
      </c>
      <c r="G85" s="12" t="s">
        <v>282</v>
      </c>
      <c r="H85" s="9" t="s">
        <v>283</v>
      </c>
    </row>
    <row r="86" customFormat="false" ht="25.35" hidden="false" customHeight="false" outlineLevel="0" collapsed="false">
      <c r="A86" s="6" t="n">
        <v>70</v>
      </c>
      <c r="B86" s="9" t="s">
        <v>284</v>
      </c>
      <c r="C86" s="8" t="n">
        <v>1</v>
      </c>
      <c r="D86" s="9" t="s">
        <v>285</v>
      </c>
      <c r="E86" s="10" t="n">
        <v>1440</v>
      </c>
      <c r="F86" s="11" t="n">
        <f aca="false">C86*E86</f>
        <v>1440</v>
      </c>
      <c r="G86" s="12" t="s">
        <v>286</v>
      </c>
      <c r="H86" s="9" t="s">
        <v>287</v>
      </c>
    </row>
    <row r="87" customFormat="false" ht="25.35" hidden="false" customHeight="false" outlineLevel="0" collapsed="false">
      <c r="A87" s="6" t="n">
        <v>71</v>
      </c>
      <c r="B87" s="9" t="s">
        <v>288</v>
      </c>
      <c r="C87" s="8" t="n">
        <v>1</v>
      </c>
      <c r="D87" s="9" t="s">
        <v>289</v>
      </c>
      <c r="E87" s="10" t="n">
        <v>2670</v>
      </c>
      <c r="F87" s="11" t="n">
        <f aca="false">C87*E87</f>
        <v>2670</v>
      </c>
      <c r="G87" s="12" t="s">
        <v>290</v>
      </c>
      <c r="H87" s="9" t="s">
        <v>291</v>
      </c>
    </row>
    <row r="88" customFormat="false" ht="25.35" hidden="false" customHeight="false" outlineLevel="0" collapsed="false">
      <c r="A88" s="6" t="n">
        <v>72</v>
      </c>
      <c r="B88" s="9" t="s">
        <v>292</v>
      </c>
      <c r="C88" s="8" t="n">
        <v>1</v>
      </c>
      <c r="D88" s="9" t="s">
        <v>293</v>
      </c>
      <c r="E88" s="10" t="n">
        <v>1190</v>
      </c>
      <c r="F88" s="11" t="n">
        <f aca="false">C88*E88</f>
        <v>1190</v>
      </c>
      <c r="G88" s="12" t="s">
        <v>294</v>
      </c>
      <c r="H88" s="9" t="s">
        <v>295</v>
      </c>
    </row>
    <row r="89" customFormat="false" ht="15" hidden="false" customHeight="false" outlineLevel="0" collapsed="false">
      <c r="A89" s="6" t="n">
        <v>73</v>
      </c>
      <c r="B89" s="9" t="s">
        <v>296</v>
      </c>
      <c r="C89" s="8" t="n">
        <v>1</v>
      </c>
      <c r="D89" s="9" t="s">
        <v>297</v>
      </c>
      <c r="E89" s="10" t="n">
        <v>6600</v>
      </c>
      <c r="F89" s="11" t="n">
        <f aca="false">C89*E89</f>
        <v>6600</v>
      </c>
      <c r="G89" s="12" t="s">
        <v>298</v>
      </c>
      <c r="H89" s="9" t="s">
        <v>299</v>
      </c>
    </row>
    <row r="90" customFormat="false" ht="15" hidden="false" customHeight="false" outlineLevel="0" collapsed="false">
      <c r="A90" s="6" t="n">
        <v>74</v>
      </c>
      <c r="B90" s="9" t="s">
        <v>300</v>
      </c>
      <c r="C90" s="8" t="n">
        <v>1</v>
      </c>
      <c r="D90" s="9" t="s">
        <v>301</v>
      </c>
      <c r="E90" s="10" t="n">
        <v>4059</v>
      </c>
      <c r="F90" s="11" t="n">
        <f aca="false">C90*E90</f>
        <v>4059</v>
      </c>
      <c r="G90" s="12" t="s">
        <v>302</v>
      </c>
      <c r="H90" s="9" t="s">
        <v>303</v>
      </c>
    </row>
    <row r="91" customFormat="false" ht="15" hidden="false" customHeight="false" outlineLevel="0" collapsed="false">
      <c r="A91" s="6" t="n">
        <v>75</v>
      </c>
      <c r="B91" s="9" t="s">
        <v>304</v>
      </c>
      <c r="C91" s="8" t="n">
        <v>1</v>
      </c>
      <c r="D91" s="9" t="s">
        <v>305</v>
      </c>
      <c r="E91" s="10" t="n">
        <v>438</v>
      </c>
      <c r="F91" s="11" t="n">
        <f aca="false">C91*E91</f>
        <v>438</v>
      </c>
      <c r="G91" s="12" t="s">
        <v>306</v>
      </c>
      <c r="H91" s="9" t="s">
        <v>307</v>
      </c>
    </row>
    <row r="92" customFormat="false" ht="15" hidden="false" customHeight="false" outlineLevel="0" collapsed="false">
      <c r="A92" s="6" t="n">
        <v>76</v>
      </c>
      <c r="B92" s="9" t="s">
        <v>308</v>
      </c>
      <c r="C92" s="8" t="n">
        <v>1</v>
      </c>
      <c r="D92" s="9" t="s">
        <v>309</v>
      </c>
      <c r="E92" s="10" t="n">
        <v>3850</v>
      </c>
      <c r="F92" s="11" t="n">
        <f aca="false">C92*E92</f>
        <v>3850</v>
      </c>
      <c r="G92" s="12" t="s">
        <v>310</v>
      </c>
      <c r="H92" s="9" t="s">
        <v>311</v>
      </c>
    </row>
    <row r="93" customFormat="false" ht="25.35" hidden="false" customHeight="false" outlineLevel="0" collapsed="false">
      <c r="A93" s="6" t="n">
        <v>77</v>
      </c>
      <c r="B93" s="9" t="s">
        <v>312</v>
      </c>
      <c r="C93" s="8" t="n">
        <v>1</v>
      </c>
      <c r="D93" s="9" t="s">
        <v>313</v>
      </c>
      <c r="E93" s="10" t="n">
        <v>1100</v>
      </c>
      <c r="F93" s="11" t="n">
        <f aca="false">C93*E93</f>
        <v>1100</v>
      </c>
      <c r="G93" s="12" t="s">
        <v>314</v>
      </c>
      <c r="H93" s="9" t="s">
        <v>315</v>
      </c>
    </row>
    <row r="94" customFormat="false" ht="25.35" hidden="false" customHeight="false" outlineLevel="0" collapsed="false">
      <c r="A94" s="6" t="n">
        <v>78</v>
      </c>
      <c r="B94" s="9" t="s">
        <v>316</v>
      </c>
      <c r="C94" s="8" t="n">
        <v>2</v>
      </c>
      <c r="D94" s="9" t="s">
        <v>317</v>
      </c>
      <c r="E94" s="10" t="n">
        <v>8000</v>
      </c>
      <c r="F94" s="11" t="n">
        <f aca="false">C94*E94</f>
        <v>16000</v>
      </c>
      <c r="G94" s="12" t="s">
        <v>318</v>
      </c>
      <c r="H94" s="9" t="s">
        <v>319</v>
      </c>
    </row>
    <row r="95" customFormat="false" ht="15" hidden="false" customHeight="false" outlineLevel="0" collapsed="false">
      <c r="A95" s="6" t="n">
        <v>79</v>
      </c>
      <c r="B95" s="9" t="s">
        <v>320</v>
      </c>
      <c r="C95" s="8" t="n">
        <v>1</v>
      </c>
      <c r="D95" s="9" t="s">
        <v>321</v>
      </c>
      <c r="E95" s="10" t="n">
        <v>1080</v>
      </c>
      <c r="F95" s="11" t="n">
        <f aca="false">C95*E95</f>
        <v>1080</v>
      </c>
      <c r="G95" s="12" t="s">
        <v>322</v>
      </c>
      <c r="H95" s="9" t="s">
        <v>323</v>
      </c>
    </row>
    <row r="96" customFormat="false" ht="15" hidden="false" customHeight="false" outlineLevel="0" collapsed="false">
      <c r="A96" s="6" t="n">
        <v>80</v>
      </c>
      <c r="B96" s="9" t="s">
        <v>324</v>
      </c>
      <c r="C96" s="8" t="n">
        <v>1</v>
      </c>
      <c r="D96" s="9" t="s">
        <v>325</v>
      </c>
      <c r="E96" s="10" t="n">
        <v>3949</v>
      </c>
      <c r="F96" s="11" t="n">
        <f aca="false">C96*E96</f>
        <v>3949</v>
      </c>
      <c r="G96" s="12" t="s">
        <v>326</v>
      </c>
      <c r="H96" s="9" t="s">
        <v>327</v>
      </c>
    </row>
    <row r="97" customFormat="false" ht="15" hidden="false" customHeight="false" outlineLevel="0" collapsed="false">
      <c r="A97" s="6" t="n">
        <v>81</v>
      </c>
      <c r="B97" s="9" t="s">
        <v>328</v>
      </c>
      <c r="C97" s="8" t="n">
        <v>1</v>
      </c>
      <c r="D97" s="9" t="s">
        <v>329</v>
      </c>
      <c r="E97" s="10" t="n">
        <v>8750</v>
      </c>
      <c r="F97" s="11" t="n">
        <f aca="false">C97*E97</f>
        <v>8750</v>
      </c>
      <c r="G97" s="12" t="s">
        <v>330</v>
      </c>
      <c r="H97" s="9" t="s">
        <v>331</v>
      </c>
    </row>
    <row r="98" customFormat="false" ht="15" hidden="false" customHeight="false" outlineLevel="0" collapsed="false">
      <c r="A98" s="6" t="n">
        <v>82</v>
      </c>
      <c r="B98" s="9" t="s">
        <v>332</v>
      </c>
      <c r="C98" s="8" t="n">
        <v>1</v>
      </c>
      <c r="D98" s="9" t="s">
        <v>333</v>
      </c>
      <c r="E98" s="10" t="n">
        <v>2739</v>
      </c>
      <c r="F98" s="11" t="n">
        <f aca="false">C98*E98</f>
        <v>2739</v>
      </c>
      <c r="G98" s="12" t="s">
        <v>334</v>
      </c>
      <c r="H98" s="9" t="s">
        <v>335</v>
      </c>
    </row>
    <row r="99" customFormat="false" ht="15" hidden="false" customHeight="false" outlineLevel="0" collapsed="false">
      <c r="A99" s="6" t="n">
        <v>83</v>
      </c>
      <c r="B99" s="9" t="s">
        <v>336</v>
      </c>
      <c r="C99" s="8" t="n">
        <v>1</v>
      </c>
      <c r="D99" s="9" t="s">
        <v>337</v>
      </c>
      <c r="E99" s="10" t="n">
        <v>2750</v>
      </c>
      <c r="F99" s="11" t="n">
        <f aca="false">C99*E99</f>
        <v>2750</v>
      </c>
      <c r="G99" s="12" t="s">
        <v>338</v>
      </c>
      <c r="H99" s="9" t="s">
        <v>339</v>
      </c>
    </row>
    <row r="100" customFormat="false" ht="15" hidden="false" customHeight="false" outlineLevel="0" collapsed="false">
      <c r="A100" s="13"/>
      <c r="B100" s="13"/>
      <c r="C100" s="13"/>
      <c r="D100" s="14" t="s">
        <v>340</v>
      </c>
      <c r="E100" s="13"/>
      <c r="F100" s="15" t="n">
        <f aca="false">SUM(F77:F99)</f>
        <v>217682</v>
      </c>
      <c r="G100" s="13"/>
      <c r="H100" s="13"/>
    </row>
    <row r="102" customFormat="false" ht="15" hidden="false" customHeight="false" outlineLevel="0" collapsed="false">
      <c r="B102" s="16" t="s">
        <v>341</v>
      </c>
    </row>
    <row r="103" customFormat="false" ht="15" hidden="false" customHeight="false" outlineLevel="0" collapsed="false">
      <c r="D103" s="17" t="s">
        <v>342</v>
      </c>
      <c r="F103" s="18" t="n">
        <f aca="false">F17+F33+F47+F59+F75</f>
        <v>615227</v>
      </c>
    </row>
    <row r="104" customFormat="false" ht="15" hidden="false" customHeight="false" outlineLevel="0" collapsed="false">
      <c r="D104" s="17" t="s">
        <v>343</v>
      </c>
      <c r="F104" s="18" t="n">
        <f aca="false">F100</f>
        <v>217682</v>
      </c>
    </row>
    <row r="105" customFormat="false" ht="15" hidden="false" customHeight="false" outlineLevel="0" collapsed="false">
      <c r="D105" s="19" t="s">
        <v>344</v>
      </c>
      <c r="F105" s="20" t="n">
        <f aca="false">SUM(F103:F104)</f>
        <v>832909</v>
      </c>
    </row>
    <row r="107" customFormat="false" ht="15" hidden="false" customHeight="false" outlineLevel="0" collapsed="false">
      <c r="B107" s="2" t="s">
        <v>345</v>
      </c>
    </row>
    <row r="108" customFormat="false" ht="15" hidden="false" customHeight="false" outlineLevel="0" collapsed="false">
      <c r="B108" s="2" t="s">
        <v>346</v>
      </c>
    </row>
    <row r="109" customFormat="false" ht="15" hidden="false" customHeight="false" outlineLevel="0" collapsed="false">
      <c r="B109" s="2" t="s">
        <v>347</v>
      </c>
    </row>
    <row r="110" customFormat="false" ht="15" hidden="false" customHeight="false" outlineLevel="0" collapsed="false">
      <c r="B110" s="2" t="s">
        <v>348</v>
      </c>
    </row>
    <row r="111" customFormat="false" ht="15" hidden="false" customHeight="false" outlineLevel="0" collapsed="false">
      <c r="B111" s="2" t="s">
        <v>349</v>
      </c>
    </row>
    <row r="112" customFormat="false" ht="15" hidden="false" customHeight="false" outlineLevel="0" collapsed="false">
      <c r="B112" s="2" t="s">
        <v>350</v>
      </c>
    </row>
    <row r="113" customFormat="false" ht="15" hidden="false" customHeight="false" outlineLevel="0" collapsed="false">
      <c r="B113" s="2" t="s">
        <v>351</v>
      </c>
    </row>
  </sheetData>
  <hyperlinks>
    <hyperlink ref="G7" r:id="rId1" display="https://www.icbanq.com/P016286897"/>
    <hyperlink ref="G8" r:id="rId2" display="https://prod.danawa.com/info/?pcode=29865749"/>
    <hyperlink ref="G9" r:id="rId3" display="https://www.icbanq.com/P017179277"/>
    <hyperlink ref="G10" r:id="rId4" display="https://www.icbanq.com/P017179502"/>
    <hyperlink ref="G11" r:id="rId5" display="https://prod.danawa.com/info/?pcode=20358155"/>
    <hyperlink ref="G12" r:id="rId6" display="https://www.mechasolution.com/goods/goods_view.php?goodsNo=605179"/>
    <hyperlink ref="G13" r:id="rId7" display="https://www.eleparts.co.kr/goods/view?no=32569"/>
    <hyperlink ref="G14" r:id="rId8" display="https://www.eleparts.co.kr/goods/view?no=3237821"/>
    <hyperlink ref="G15" r:id="rId9" display="https://www.eleparts.co.kr/goods/view?no=12766820"/>
    <hyperlink ref="G16" r:id="rId10" display="https://prod.danawa.com/info/?pcode=59074565"/>
    <hyperlink ref="G19" r:id="rId11" display="https://parts-parts.co.kr/product/detail.html?product_no=2383"/>
    <hyperlink ref="G20" r:id="rId12" display="https://www.icbanq.com/P018076669"/>
    <hyperlink ref="G21" r:id="rId13" display="https://dgmagnet.com/product/%EC%B4%88%EA%B0%95%EB%A0%A5-%EB%84%A4%EC%98%A4%EB%94%94%EC%9B%80-%EC%9B%90%ED%98%95%EC%9E%90%EC%84%9D-5mm/13/"/>
    <hyperlink ref="G22" r:id="rId14" display="https://parts-parts.co.kr/product/detail.html?product_no=303"/>
    <hyperlink ref="G23" r:id="rId15" display="https://www.mechasolution.com/goods/goods_view.php?goodsNo=329798"/>
    <hyperlink ref="G24" r:id="rId16" display="https://www.mechasolution.com/goods/goods_view.php?goodsNo=540645"/>
    <hyperlink ref="G25" r:id="rId17" display="https://www.icbanq.com/P014968846"/>
    <hyperlink ref="G26" r:id="rId18" display="https://www.icbanq.com/P001248090"/>
    <hyperlink ref="G27" r:id="rId19" display="https://www.icbanq.com/P005666127"/>
    <hyperlink ref="G28" r:id="rId20" display="https://www.eleparts.co.kr/goods/view?no=10911"/>
    <hyperlink ref="G29" r:id="rId21" display="https://www.eleparts.co.kr/goods/view?no=10993"/>
    <hyperlink ref="G30" r:id="rId22" display="https://www.eleparts.co.kr/goods/view?no=10951"/>
    <hyperlink ref="G31" r:id="rId23" display="https://www.eleparts.co.kr/goods/view?no=10873"/>
    <hyperlink ref="G32" r:id="rId24" display="https://www.icbanq.com/P011433924"/>
    <hyperlink ref="G35" r:id="rId25" display="https://www.allsteelshop.com/product/squareplate/9t"/>
    <hyperlink ref="G36" r:id="rId26" display="https://www.11st.co.kr/products/1304631510"/>
    <hyperlink ref="G37" r:id="rId27" display="https://www.11st.co.kr/products/1304631510"/>
    <hyperlink ref="G38" r:id="rId28" display="https://www.icbanq.com/P015973844"/>
    <hyperlink ref="G39" r:id="rId29" display="https://www.icbanq.com/P015976209"/>
    <hyperlink ref="G40" r:id="rId30" display="https://www.nasakorea.com/goods/goods_view.php?goodsNo=6009"/>
    <hyperlink ref="G41" r:id="rId31" display="https://kr.misumi-ec.com/vona2/detail/110310556289/?HissuCode=C-UA90R5-3-0.5"/>
    <hyperlink ref="G42" r:id="rId32" display="https://studiobunt.com/product/detail.html?product_no=4117"/>
    <hyperlink ref="G43" r:id="rId33" display="https://studiobunt.com/product/detail.html?product_no=1157"/>
    <hyperlink ref="G44" r:id="rId34" display="https://www.navimro.com/g/1028764/"/>
    <hyperlink ref="G45" r:id="rId35" display="https://www.navimro.com/g/1029233/"/>
    <hyperlink ref="G46" r:id="rId36" display="https://www.11st.co.kr/products/8517880969"/>
    <hyperlink ref="G49" r:id="rId37" display="https://www.icbanq.com/P017179248"/>
    <hyperlink ref="G50" r:id="rId38" display="https://www.11st.co.kr/products/1565354988"/>
    <hyperlink ref="G51" r:id="rId39" display="https://www.apple.com/kr/shop/product/mw2q3kh/a"/>
    <hyperlink ref="G52" r:id="rId40" display="https://www.eleparts.co.kr/goods/view?no=11043038"/>
    <hyperlink ref="G53" r:id="rId41" display="https://www.eleparts.co.kr/goods/view?no=67811"/>
    <hyperlink ref="G54" r:id="rId42" display="https://www.icbanq.com/P014159115"/>
    <hyperlink ref="G55" r:id="rId43" display="https://www.eleparts.co.kr/goods/view?no=12779720"/>
    <hyperlink ref="G56" r:id="rId44" display="https://www.eleparts.co.kr/goods/view?no=12779721"/>
    <hyperlink ref="G57" r:id="rId45" display="https://namugongjang.com/product/detail.html?product_no=1378"/>
    <hyperlink ref="G58" r:id="rId46" display="https://www.11st.co.kr/products/2325598213"/>
    <hyperlink ref="G61" r:id="rId47" display="https://namugongjang.com/product/detail.html?product_no=1378"/>
    <hyperlink ref="G62" r:id="rId48" display="https://www.metaldiy.com/item/itemView.do?itemId=8806379117286"/>
    <hyperlink ref="G63" r:id="rId49" display="https://dgmagnet.com/product/detail.html?product_no=17"/>
    <hyperlink ref="G64" r:id="rId50" display="https://www.rcbank.co.kr/shop/goods/goods_view.php?goodsno=29812"/>
    <hyperlink ref="G65" r:id="rId51" display="https://www.eleparts.co.kr/goods/view?no=16628292"/>
    <hyperlink ref="G66" r:id="rId52" display="https://www.rcbank.co.kr/shop/goods/goods_view.php?goodsno=67110"/>
    <hyperlink ref="G67" r:id="rId53" display="https://www.11st.co.kr/products/7591566666"/>
    <hyperlink ref="G68" r:id="rId54" display="https://www.11st.co.kr/products/4236198413"/>
    <hyperlink ref="G69" r:id="rId55" display="https://www.11st.co.kr/products/4236198413"/>
    <hyperlink ref="G70" r:id="rId56" display="https://www.11st.co.kr/products/4236198413"/>
    <hyperlink ref="G71" r:id="rId57" display="https://www.11st.co.kr/products/4236198413"/>
    <hyperlink ref="G72" r:id="rId58" display="https://www.11st.co.kr/products/4353471537"/>
    <hyperlink ref="G73" r:id="rId59" display="https://www.11st.co.kr/products/4353471537"/>
    <hyperlink ref="G74" r:id="rId60" display="https://www.11st.co.kr/products/4353471537"/>
    <hyperlink ref="G77" r:id="rId61" display="https://kr.store.bambulab.com/products/petg-basic"/>
    <hyperlink ref="G78" r:id="rId62" display="https://kr.store.bambulab.com/products/petg-basic"/>
    <hyperlink ref="G79" r:id="rId63" display="https://kr.store.bambulab.com/products/petg-basic"/>
    <hyperlink ref="G80" r:id="rId64" display="https://kr.store.bambulab.com/products/petg-basic"/>
    <hyperlink ref="G81" r:id="rId65" display="https://www.eleparts.co.kr/goods/view?no=4313490"/>
    <hyperlink ref="G82" r:id="rId66" display="https://www.eleparts.co.kr/goods/view?no=425"/>
    <hyperlink ref="G83" r:id="rId67" display="https://www.eleparts.co.kr/goods/view?no=425"/>
    <hyperlink ref="G84" r:id="rId68" display="https://www.eleparts.co.kr/goods/view?no=18388615"/>
    <hyperlink ref="G85" r:id="rId69" display="https://www.eleparts.co.kr/goods/view?no=2925673"/>
    <hyperlink ref="G86" r:id="rId70" display="https://www.eleparts.co.kr/goods/view?no=17806172"/>
    <hyperlink ref="G87" r:id="rId71" display="https://www.eleparts.co.kr/goods/view?no=17806170"/>
    <hyperlink ref="G88" r:id="rId72" display="https://www.eleparts.co.kr/goods/view?no=17358965"/>
    <hyperlink ref="G89" r:id="rId73" display="https://www.eleparts.co.kr/goods/view?no=8170311"/>
    <hyperlink ref="G90" r:id="rId74" display="https://www.eleparts.co.kr/goods/view?no=557"/>
    <hyperlink ref="G91" r:id="rId75" display="https://www.eleparts.co.kr/goods/view?no=9100003"/>
    <hyperlink ref="G92" r:id="rId76" display="https://www.eleparts.co.kr/goods/view?no=12755646"/>
    <hyperlink ref="G93" r:id="rId77" display="https://www.icbanq.com/P015309984"/>
    <hyperlink ref="G94" r:id="rId78" display="https://www.11st.co.kr/products/7459325704"/>
    <hyperlink ref="G95" r:id="rId79" display="https://www.eleparts.co.kr/goods/view?no=17897439"/>
    <hyperlink ref="G96" r:id="rId80" display="https://www.navimro.com/g/395062/"/>
    <hyperlink ref="G97" r:id="rId81" display="https://www.11st.co.kr/products/9579455646"/>
    <hyperlink ref="G98" r:id="rId82" display="https://www.navimro.com/g/37021/"/>
    <hyperlink ref="G99" r:id="rId83" display="https://www.11st.co.kr/products/1333385437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2026-09-30T09:32:56Z</dcterms:created>
  <dc:creator>openpyxl</dc:creator>
  <dc:description/>
  <dc:language>en-US</dc:language>
  <cp:lastModifiedBy/>
  <dcterms:modified xsi:type="dcterms:W3CDTF">2026-09-30T09:32:56Z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