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판매처별 주문" sheetId="1" r:id="rId1"/>
    <sheet name="분류별 목록" sheetId="2" r:id="rId2"/>
    <sheet name="뺀 품목"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2"/>
  <sheetViews>
    <sheetView workbookViewId="0"/>
  </sheetViews>
  <cols>
    <col min="1" max="1" width="22.83203125" customWidth="1"/>
    <col min="2" max="2" width="12.83203125" customWidth="1"/>
    <col min="3" max="3" width="34.83203125" customWidth="1"/>
    <col min="4" max="4" width="44.83203125" customWidth="1"/>
    <col min="5" max="5" width="7.83203125" customWidth="1"/>
    <col min="6" max="6" width="10.83203125" customWidth="1"/>
    <col min="7" max="7" width="12.83203125" customWidth="1"/>
    <col min="8" max="8" width="8.83203125" customWidth="1"/>
    <col min="9" max="9" width="40.83203125" customWidth="1"/>
    <col min="10" max="10" width="60.83203125" customWidth="1"/>
  </cols>
  <sheetData>
    <row r="1">
      <c r="A1" t="str">
        <v>Toccata 최종 재료 — 판매처별 주문표</v>
      </c>
      <c r="B1" t="str">
        <v/>
      </c>
      <c r="C1" t="str">
        <v/>
      </c>
      <c r="D1" t="str">
        <v/>
      </c>
      <c r="E1" t="str">
        <v/>
      </c>
      <c r="F1" t="str">
        <v/>
      </c>
      <c r="G1" t="str">
        <v/>
      </c>
      <c r="H1" t="str">
        <v/>
      </c>
      <c r="I1" t="str">
        <v/>
      </c>
    </row>
    <row r="2">
      <c r="A2" t="str">
        <v>만든 날: 2026-09-30 · v4 W1 r4.5 · 수량·단가를 고치면 금액·합계가 다시 계산됩니다</v>
      </c>
    </row>
    <row r="4">
      <c r="A4" t="str">
        <v>판매처</v>
      </c>
      <c r="B4" t="str">
        <v>분류</v>
      </c>
      <c r="C4" t="str">
        <v>품목</v>
      </c>
      <c r="D4" t="str">
        <v>상품명 (판매처 표기)</v>
      </c>
      <c r="E4" t="str">
        <v>수량</v>
      </c>
      <c r="F4" t="str">
        <v>단가(원)</v>
      </c>
      <c r="G4" t="str">
        <v>금액(원)</v>
      </c>
      <c r="H4" t="str">
        <v>구분</v>
      </c>
      <c r="I4" t="str">
        <v>링크</v>
      </c>
      <c r="J4" t="str">
        <v>쓰는 곳</v>
      </c>
    </row>
    <row r="5">
      <c r="A5" t="str">
        <v>아이씨뱅큐</v>
      </c>
      <c r="B5" t="str">
        <v>제어·전원</v>
      </c>
      <c r="C5" t="str">
        <v>Raspberry Pi 5 (2GB)</v>
      </c>
      <c r="D5" t="str">
        <v>Raspberry Pi 5 2GB (라즈베리파이 5 2GB Raspberry pi 5)</v>
      </c>
      <c r="E5">
        <v>1</v>
      </c>
      <c r="F5" s="1">
        <v>119900</v>
      </c>
      <c r="G5" s="1">
        <f>E5*F5</f>
        <v>119900</v>
      </c>
      <c r="H5" t="str">
        <v>기본</v>
      </c>
      <c r="I5" t="str">
        <v>https://www.icbanq.com/P016286897</v>
      </c>
      <c r="J5" t="str">
        <v>가운데 유닛 CU 칸의 출력 트레이 보스 4개에 M2.5×6 나사(L47)로 1대를 고정한다. USB-A 한 포트에 허브 업스트림 선(W209), 다른 포트에 USB 동글(젠더 X701)을 꽂는다. 전원은 강압 모듈에서 C24 선으로 USB-C에 받는다. FluidSynth를 돌리고, 2단계 리듬게임도 콘솔 모드에서는 여기서 돌린다(PC 모드에서는 PC가 맡는다).</v>
      </c>
    </row>
    <row r="6">
      <c r="A6" t="str">
        <v>아이씨뱅큐</v>
      </c>
      <c r="B6" t="str">
        <v>제어·전원</v>
      </c>
      <c r="C6" t="str">
        <v>PD 트리거 모듈 HUSB238 (20 V)</v>
      </c>
      <c r="D6" t="str">
        <v>100W QC PD 트리거 디코이 고정출력 모듈 5V-20V (HAM6113, HUSB238)</v>
      </c>
      <c r="E6">
        <v>1</v>
      </c>
      <c r="F6" s="1">
        <v>4950</v>
      </c>
      <c r="G6" s="1">
        <f>E6*F6</f>
        <v>4950</v>
      </c>
      <c r="H6" t="str">
        <v>기본</v>
      </c>
      <c r="I6" t="str">
        <v>https://www.icbanq.com/P017179277</v>
      </c>
      <c r="J6" t="str">
        <v>CU 칸 뒤판인 I/O 판 안쪽 포켓에 1개를 끼워 USB-C 구멍이 본체 밖을 향하게 한다. 충전기 선(C23)이나 보조배터리 선(C22)이 여기에 꽂힌다. 출력 +는 퓨즈 → 스위치로, −는 강압 모듈 IN− 별 접지점으로 간다(SCH-06 A601).</v>
      </c>
    </row>
    <row r="7">
      <c r="A7" t="str">
        <v>아이씨뱅큐</v>
      </c>
      <c r="B7" t="str">
        <v>센서·MCU·기판</v>
      </c>
      <c r="C7" t="str">
        <v>홀센서 TI DRV5055A2QLPG</v>
      </c>
      <c r="D7" t="str">
        <v>TI DRV5055A2QLPG (TO-92-3 Linear Hall Effect Sensor, LCSC 경유)</v>
      </c>
      <c r="E7">
        <v>100</v>
      </c>
      <c r="F7" s="1">
        <v>891</v>
      </c>
      <c r="G7" s="1">
        <f>E7*F7</f>
        <v>89100</v>
      </c>
      <c r="H7" t="str">
        <v>기본</v>
      </c>
      <c r="I7" t="str">
        <v>https://www.icbanq.com/P018076669</v>
      </c>
      <c r="J7" t="str">
        <v>건반 밑 자석(Ø5×2)과의 거리를 전압으로 재는 센서다. 모듈 센서 기판마다 12개(U201~U212) × 7 = 84, 끝 부속 EL 3개(A0·A#0·B0) + ER 1개(C8), 페달 안 1개(U551) = 89개 사용. 건반용은 표시면을 위로 눕혀 센서 바 포켓에 넣고, 다리를 2.54 간격으로 벌려 꺾어 센서 기판에 납땜한다. 페달용은 페달 바닥판에 만능기판 자투리와 함께 표시면이 위로 오게 붙인다(SCH-05 주 1). [100개 이상 개당 891원, 그 아래는 개당 1,023원]</v>
      </c>
    </row>
    <row r="8">
      <c r="A8" t="str">
        <v>아이씨뱅큐</v>
      </c>
      <c r="B8" t="str">
        <v>센서·MCU·기판</v>
      </c>
      <c r="C8" t="str">
        <v>핀헤더 1×40 (2.54 mm, 수)</v>
      </c>
      <c r="D8" t="str">
        <v>핀헤더 1×40 - 2.54MM(S/T) _ 11.5MM(1단몰드)</v>
      </c>
      <c r="E8">
        <v>9</v>
      </c>
      <c r="F8" s="1">
        <v>165</v>
      </c>
      <c r="G8" s="1">
        <f>E8*F8</f>
        <v>1485</v>
      </c>
      <c r="H8" t="str">
        <v>기본</v>
      </c>
      <c r="I8" t="str">
        <v>https://www.icbanq.com/P005666127</v>
      </c>
      <c r="J8" t="str">
        <v>제어 기판에 먹스 모듈과 RP2040-Zero를 세워 납땜하는 핀이다. 먹스 7개 × (1×16 + 1×8) = 168핀, RP2040-Zero 8개(O1~O7 + 페달 보드) × 1×9 ×2 = 144핀, 합 312핀. 제로용은 플라스틱 몰드를 빼고 좌·우 줄만 쓴다(아래 줄 없음).</v>
      </c>
    </row>
    <row r="9">
      <c r="A9" t="str">
        <v>아이씨뱅큐</v>
      </c>
      <c r="B9" t="str">
        <v>센서·MCU·기판</v>
      </c>
      <c r="C9" t="str">
        <v>100 nF 1206 칩 콘덴서 (삼성)</v>
      </c>
      <c r="D9" t="str">
        <v>Samsung CL31B104KCFNNNE (1206 100nF 100V X7R)</v>
      </c>
      <c r="E9">
        <v>97</v>
      </c>
      <c r="F9" s="1">
        <v>44</v>
      </c>
      <c r="G9" s="1">
        <f>E9*F9</f>
        <v>4268</v>
      </c>
      <c r="H9" t="str">
        <v>기본</v>
      </c>
      <c r="I9" t="str">
        <v>https://www.icbanq.com/P014968846</v>
      </c>
      <c r="J9" t="str">
        <v>센서마다 붙이는 전원 안정 콘덴서다. 센서 기판 아랫면 센서마다 1개(C201~C212) × 7 = 84, 끝 부속 EL 3(C401~C403) + ER 1(C411), 페달 안 센서 1(C551), 페달 보드 ADC 필터 1(C501), 제어 기판 먹스 전원 C301 × 7 = 97개 사용. 센서용은 3V3–GND 패드 사이에, C301은 제어 기판 아랫면 먹스 VCC–GND 사이에, C501은 ADC 입력–GND 사이에 납땜한다.</v>
      </c>
    </row>
    <row r="10">
      <c r="A10" t="str">
        <v>아이씨뱅큐</v>
      </c>
      <c r="B10" t="str">
        <v>센서·MCU·기판</v>
      </c>
      <c r="C10" t="str">
        <v>10 µF 1206 칩 콘덴서 (50개)</v>
      </c>
      <c r="D10" t="str">
        <v>C3216-10UF(K 16V) — 1206 10 µF 16 V 칩 세라믹 콘덴서 (50개 단위)</v>
      </c>
      <c r="E10">
        <v>1</v>
      </c>
      <c r="F10" s="1">
        <v>7150</v>
      </c>
      <c r="G10" s="1">
        <f>E10*F10</f>
        <v>7150</v>
      </c>
      <c r="H10" t="str">
        <v>기본</v>
      </c>
      <c r="I10" t="str">
        <v>https://www.icbanq.com/P001248090</v>
      </c>
      <c r="J10" t="str">
        <v>센서 3V3 버스의 전원 안정 콘덴서다. 센서 기판 아랫면 버스 양 끝(C213 x8.25, C214 x158.11) × 7 = 14, 끝 부속 EL C404 + ER C412 = 16개 사용(회로 △1·△3).</v>
      </c>
    </row>
    <row r="11">
      <c r="A11" t="str">
        <v>아이씨뱅큐</v>
      </c>
      <c r="B11" t="str">
        <v>센서·MCU·기판</v>
      </c>
      <c r="C11" t="str">
        <v>1 kΩ 1206 칩 저항 (Yageo)</v>
      </c>
      <c r="D11" t="str">
        <v>Yageo RC1206JR-071KL — 1206 1 kΩ 5 % 1/4 W 칩 저항</v>
      </c>
      <c r="E11">
        <v>10</v>
      </c>
      <c r="F11" s="1">
        <v>44</v>
      </c>
      <c r="G11" s="1">
        <f>E11*F11</f>
        <v>440</v>
      </c>
      <c r="H11" t="str">
        <v>기본</v>
      </c>
      <c r="I11" t="str">
        <v>https://www.icbanq.com/P011433924</v>
      </c>
      <c r="J11" t="str">
        <v>끝 부속 센서 기판 아랫면에서 센서 OUT에 직렬로 다는 저항이다. EL R401~R403(A0·A#0·B0) + ER R411(C8) = 4개 사용. 약 0.6 m 선의 용량이 센서 출력에 바로 걸리지 않게 한다(△8·△13). [최소 주문 10개 · 10개 단위로 판매]</v>
      </c>
    </row>
    <row r="12">
      <c r="A12" t="str">
        <v>아이씨뱅큐</v>
      </c>
      <c r="B12" t="str">
        <v>오디오</v>
      </c>
      <c r="C12" t="str">
        <v>1 µF 적층 세라믹 콘덴서 50 V</v>
      </c>
      <c r="D12" t="str">
        <v>Monolithic Capacitor 1uF X7R 50V (리드형 적층 세라믹)</v>
      </c>
      <c r="E12">
        <v>4</v>
      </c>
      <c r="F12" s="1">
        <v>133</v>
      </c>
      <c r="G12" s="1">
        <f>E12*F12</f>
        <v>532</v>
      </c>
      <c r="H12" t="str">
        <v>기본</v>
      </c>
      <c r="I12" t="str">
        <v>https://www.icbanq.com/P014159115</v>
      </c>
      <c r="J12" t="str">
        <v>CU 트레이의 앰프 입력 잭(J702) 기판에서 앰프 입력 앞 저음 차단 필터로 쓴다. 채널마다 2개를 병렬(2 µF)로 신호에 직렬로 넣어 C701·C702(왼쪽), C703·C704(오른쪽) = 4개를 쓴다. 채널마다 1 kΩ(R701·R702, L29 줄)을 앰프 IN G(AGND)로 달아 약 93 Hz 아래를 줄인다.</v>
      </c>
    </row>
    <row r="13">
      <c r="A13" t="str">
        <v>아이씨뱅큐</v>
      </c>
      <c r="B13" t="str">
        <v>건반 액션</v>
      </c>
      <c r="C13" t="str">
        <v>M3 육각너트 강철 (LCSC C133377)</v>
      </c>
      <c r="D13" t="str">
        <v>XHHD 육각너트 M3 강철 (LCSC C133377)</v>
      </c>
      <c r="E13">
        <v>92</v>
      </c>
      <c r="F13" s="1">
        <v>11</v>
      </c>
      <c r="G13" s="1">
        <f>E13*F13</f>
        <v>1012</v>
      </c>
      <c r="H13" t="str">
        <v>기본</v>
      </c>
      <c r="I13" t="str">
        <v>https://www.icbanq.com/P015976209</v>
      </c>
      <c r="J13" t="str">
        <v>건반 꼬리 숨은 빔의 너트 홈(폭 5.6)에 옆에서 밀어 넣어 캡스턴 나사(M3×6)를 받는다. 건반마다 1개라 모듈 12 × 7 + 끝 부속 4 = 88개다. 여기에 끝 부속 ↔ 스피커 브래킷 연결 4개(v3.2 기준, 왼쪽·오른쪽 끝 부속에 가로 너트 2개씩)를 더해 92개를 쓴다.</v>
      </c>
    </row>
    <row r="14">
      <c r="A14" t="str">
        <v>아이씨뱅큐</v>
      </c>
      <c r="B14" t="str">
        <v>본체·결합</v>
      </c>
      <c r="C14" t="str">
        <v>V-tech 순간접착제 5 g (VT-041)</v>
      </c>
      <c r="D14" t="str">
        <v>순간접착제 (814-2010) — V-tech 강력 순간접착제 5g (VT-041)</v>
      </c>
      <c r="E14">
        <v>1</v>
      </c>
      <c r="F14" s="1">
        <v>1100</v>
      </c>
      <c r="G14" s="1">
        <f>E14*F14</f>
        <v>1100</v>
      </c>
      <c r="H14" t="str">
        <v>소모품</v>
      </c>
      <c r="I14" t="str">
        <v>https://www.icbanq.com/P015309984</v>
      </c>
      <c r="J14" t="str">
        <v>건반 밑 센서 자석(Ø5×2) 89개(건반 88 + 페달 1)를 포켓(Ø5.2)에 눌러 넣은 뒤 한 방울씩 떨어뜨려 고정한다. 가운데 유닛 뚜껑 자석(Ø8×3) 12개도 이것으로 Ø8.2 포켓에 붙인다. 단계 0 시험 키트(C01 봉·시험 레버의 강철 고정 등)에도 조금 쓴다.</v>
      </c>
    </row>
    <row r="15">
      <c r="A15" t="str">
        <v>아이씨뱅큐</v>
      </c>
      <c r="B15" t="str">
        <v>페달</v>
      </c>
      <c r="C15" t="str">
        <v>3.5 mm 스테레오 AUX 선 3 m (페달)</v>
      </c>
      <c r="D15" t="str">
        <v>[BC256] Coms 스테레오 케이블 3M AUX 3극 Stereo 3.5 M/M 고급포장</v>
      </c>
      <c r="E15">
        <v>1</v>
      </c>
      <c r="F15" s="1">
        <v>2860</v>
      </c>
      <c r="G15" s="1">
        <f>E15*F15</f>
        <v>2860</v>
      </c>
      <c r="H15" t="str">
        <v>기본</v>
      </c>
      <c r="I15" t="str">
        <v>https://www.icbanq.com/P004711396</v>
      </c>
      <c r="J15" t="str">
        <v>댐퍼 페달(책상 앞 바닥)과 가운데 유닛 I/O 판의 페달 잭(J501, L15 ②)을 잇는 신호선 1가닥(W501)이다. 한쪽 플러그를 잘라 페달 안 센서 기판에 납땜하고(팁 = 센서 출력, 링 = 3V3, 슬리브 = GND), 남은 플러그를 I/O 판 잭에 꽂는다.</v>
      </c>
    </row>
    <row r="16">
      <c r="A16" t="str">
        <v>아이씨뱅큐</v>
      </c>
      <c r="B16" t="str">
        <v>건반 액션</v>
      </c>
      <c r="C16" t="str">
        <v>캡스턴 나사 M3×6 버튼헤드 SUS304</v>
      </c>
      <c r="D16" t="str">
        <v>AOFENG ISO7380 M3-0.5X6 304 (Hex socket pan head cap screw)</v>
      </c>
      <c r="E16">
        <v>100</v>
      </c>
      <c r="F16" s="1">
        <v>11</v>
      </c>
      <c r="G16" s="1">
        <f>E16*F16</f>
        <v>1100</v>
      </c>
      <c r="H16" t="str">
        <v>기본</v>
      </c>
      <c r="I16" t="str">
        <v>https://www.icbanq.com/P015973844</v>
      </c>
      <c r="J16" t="str">
        <v>건반 꼬리 숨은 빔의 캡스턴이다. 머리가 레버 밑 펠트 띠를 들어 올린다. 1/8회전(0.0625 mm)씩 돌려 높이를 맞춘다. 모듈 12 × 7 + 끝 부속 4 = 88개를 쓰고, 건반을 넣기 전에 벤치 지그와 가짜 레버(T2)에서 맞춘다. [최소 주문 100개]</v>
      </c>
    </row>
    <row r="17">
      <c r="A17" t="str">
        <v>아이씨뱅큐</v>
      </c>
      <c r="B17" t="str">
        <v>배송비</v>
      </c>
      <c r="C17" t="str">
        <v>배송비</v>
      </c>
      <c r="D17" t="str">
        <v/>
      </c>
      <c r="E17">
        <v>1</v>
      </c>
      <c r="F17" s="1">
        <v>0</v>
      </c>
      <c r="G17" s="1">
        <f>E17*F17</f>
        <v>0</v>
      </c>
      <c r="H17" t="str">
        <v>배송비</v>
      </c>
      <c r="I17" t="str">
        <v/>
      </c>
      <c r="J17" t="str">
        <v>55,000원 이상 무료</v>
      </c>
    </row>
    <row r="18">
      <c r="A18" t="str">
        <v/>
      </c>
      <c r="B18" t="str">
        <v/>
      </c>
      <c r="C18" t="str">
        <v>아이씨뱅큐 소계</v>
      </c>
      <c r="D18" t="str">
        <v/>
      </c>
      <c r="E18" t="str">
        <v/>
      </c>
      <c r="F18" t="str">
        <v/>
      </c>
      <c r="G18" s="1">
        <f>SUM(G5:G17)</f>
        <v>233897</v>
      </c>
    </row>
    <row r="20">
      <c r="A20" t="str">
        <v>엘레파츠</v>
      </c>
      <c r="B20" t="str">
        <v>제어·전원</v>
      </c>
      <c r="C20" t="str">
        <v>KCD1-101A 로커 스위치 (검정)</v>
      </c>
      <c r="D20" t="str">
        <v>[ZX Electronics] KCD1-101A BLACK I/O 로커 스위치 (2P ON-OFF, 6A 250VAC / 10A 125VAC)</v>
      </c>
      <c r="E20">
        <v>1</v>
      </c>
      <c r="F20" s="1">
        <v>385</v>
      </c>
      <c r="G20" s="1">
        <f>E20*F20</f>
        <v>385</v>
      </c>
      <c r="H20" t="str">
        <v>기본</v>
      </c>
      <c r="I20" t="str">
        <v>https://www.eleparts.co.kr/goods/view?no=32569</v>
      </c>
      <c r="J20" t="str">
        <v>I/O 판의 스위치 구멍에 1개를 끼운다(스냅인). 퓨즈 뒤 20 V 선에 들어가 앰프와 강압 모듈을 함께 켜고 끈다(SCH-06 SW601).</v>
      </c>
    </row>
    <row r="21">
      <c r="A21" t="str">
        <v>엘레파츠</v>
      </c>
      <c r="B21" t="str">
        <v>제어·전원</v>
      </c>
      <c r="C21" t="str">
        <v>Coms BU914 퓨즈 홀더 (5×20)</v>
      </c>
      <c r="D21" t="str">
        <v>[Coms] BU914 원형 휴즈 홀더 (5×20 mm, 인라인)</v>
      </c>
      <c r="E21">
        <v>1</v>
      </c>
      <c r="F21" s="1">
        <v>1110</v>
      </c>
      <c r="G21" s="1">
        <f>E21*F21</f>
        <v>1110</v>
      </c>
      <c r="H21" t="str">
        <v>기본</v>
      </c>
      <c r="I21" t="str">
        <v>https://www.eleparts.co.kr/goods/view?no=3237821</v>
      </c>
      <c r="J21" t="str">
        <v>PD 트리거 출력 + 선(트리거와 스위치 사이)에 1개를 넣는다. 홀더 빨간 선 가운데를 잘라 양쪽을 납땜하고 수축튜브로 감싼다(SCH-06 F601).</v>
      </c>
    </row>
    <row r="22">
      <c r="A22" t="str">
        <v>엘레파츠</v>
      </c>
      <c r="B22" t="str">
        <v>제어·전원</v>
      </c>
      <c r="C22" t="str">
        <v>Littelfuse 5 A 지연형 퓨즈 5×20</v>
      </c>
      <c r="D22" t="str">
        <v>[LITTELFUSE] 0218005.MXP 5 A 지연형 퓨즈 5×20 mm</v>
      </c>
      <c r="E22">
        <v>5</v>
      </c>
      <c r="F22" s="1">
        <v>110</v>
      </c>
      <c r="G22" s="1">
        <f>E22*F22</f>
        <v>550</v>
      </c>
      <c r="H22" t="str">
        <v>기본</v>
      </c>
      <c r="I22" t="str">
        <v>https://www.eleparts.co.kr/goods/view?no=12766820</v>
      </c>
      <c r="J22" t="str">
        <v>퓨즈 홀더(i017) 안에 1개를 넣는다. 나머지 4개는 예비로 둔다. [최소 주문 5개]</v>
      </c>
    </row>
    <row r="23">
      <c r="A23" t="str">
        <v>엘레파츠</v>
      </c>
      <c r="B23" t="str">
        <v>제어·전원</v>
      </c>
      <c r="C23" t="str">
        <v>USB-C↔C PD 60W 케이블 0.6 m</v>
      </c>
      <c r="D23" t="str">
        <v>[MachLink] USB-C to C PD 60W 초고속충전 케이블, ML-CPD606 [블랙/0.6m]</v>
      </c>
      <c r="E23">
        <v>1</v>
      </c>
      <c r="F23" s="1">
        <v>1440</v>
      </c>
      <c r="G23" s="1">
        <f>E23*F23</f>
        <v>1440</v>
      </c>
      <c r="H23" t="str">
        <v>소모품</v>
      </c>
      <c r="I23" t="str">
        <v>https://www.eleparts.co.kr/goods/view?no=17806172</v>
      </c>
      <c r="J23" t="str">
        <v>보조배터리로 칠 때만 쓴다. 보조배터리 칸의 배터리에서 낮은 칸막이 위 → CU 칸 → I/O 판 선 통과 구멍으로 빼서 PD 트리거 USB-C 입력에 1개를 꽂는다(W601).</v>
      </c>
    </row>
    <row r="24">
      <c r="A24" t="str">
        <v>엘레파츠</v>
      </c>
      <c r="B24" t="str">
        <v>센서·MCU·기판</v>
      </c>
      <c r="C24" t="str">
        <v>16심 리본 케이블 2651-16P (센서 선)</v>
      </c>
      <c r="D24" t="str">
        <v>[EUNSUNG] Flat Data Cable 2651-16P (1m단위)</v>
      </c>
      <c r="E24">
        <v>2</v>
      </c>
      <c r="F24" s="1">
        <v>1529</v>
      </c>
      <c r="G24" s="1">
        <f>E24*F24</f>
        <v>3058</v>
      </c>
      <c r="H24" t="str">
        <v>소모품</v>
      </c>
      <c r="I24" t="str">
        <v>https://www.eleparts.co.kr/goods/view?no=425</v>
      </c>
      <c r="J24" t="str">
        <v>모듈마다 센서 기판 J201과 제어 기판 J301을 잇는 리본 1장(16심 전부, 약 180 mm, W101~W107) × 7. 끝 부속 EL 리드 5심 350 mm(W401)와 ER 리드 3심 300 mm(W411)도 이 리본을 갈라 만든다. 양 끝은 커넥터 없이 기판 아랫면 2×8 구멍에 바로 납땜한다.</v>
      </c>
    </row>
    <row r="25">
      <c r="A25" t="str">
        <v>엘레파츠</v>
      </c>
      <c r="B25" t="str">
        <v>센서·MCU·기판</v>
      </c>
      <c r="C25" t="str">
        <v>16심 리본 케이블 추가 1 m (배선용)</v>
      </c>
      <c r="D25" t="str">
        <v>[EUNSUNG] Flat Data Cable 2651-16P (1m단위)</v>
      </c>
      <c r="E25">
        <v>1</v>
      </c>
      <c r="F25" s="1">
        <v>1529</v>
      </c>
      <c r="G25" s="1">
        <f>E25*F25</f>
        <v>1529</v>
      </c>
      <c r="H25" t="str">
        <v>소모품</v>
      </c>
      <c r="I25" t="str">
        <v>https://www.eleparts.co.kr/goods/view?no=425</v>
      </c>
      <c r="J25" t="str">
        <v>리본을 한 가닥씩 갈라 기판 배선에 쓴다. 센서 기판 아랫면 3V3·GND 버스와 OUT → 리본 블록 선, 제어 기판 점 대 점 배선(SIG·S0~S3·EN·ID 브리지 등), 페달 잭 → 페달 보드 4가닥(W502, 약 10 cm).</v>
      </c>
    </row>
    <row r="26">
      <c r="A26" t="str">
        <v>엘레파츠</v>
      </c>
      <c r="B26" t="str">
        <v>소모품</v>
      </c>
      <c r="C26" t="str">
        <v>열수축튜브 530개 세트 (케이스)</v>
      </c>
      <c r="D26" t="str">
        <v>[엘레파츠] 열수축튜브 530세트 - 프라스틱케이스</v>
      </c>
      <c r="E26">
        <v>1</v>
      </c>
      <c r="F26" s="1">
        <v>6600</v>
      </c>
      <c r="G26" s="1">
        <f>E26*F26</f>
        <v>6600</v>
      </c>
      <c r="H26" t="str">
        <v>소모품</v>
      </c>
      <c r="I26" t="str">
        <v>https://www.eleparts.co.kr/goods/view?no=8170311</v>
      </c>
      <c r="J26" t="str">
        <v>끝 부속 리드(EL 5가닥 + ER 3가닥)를 뒤 케이블 통로에서 L66 JST-XH 리드(끝 부속 쪽 50 mm)와 이은 8곳을 덮는다(SCH-04 주 6). CU의 퓨즈 홀더(F601) 선을 PD 트리거 출력·스위치 쪽 선과 이은 곳, 스피커선(16 AWG)을 XT30 꼬리선에 이은 곳, 페달 안 센서 납땜부, 페달 잭 뒤쪽 납땜에도 쓴다. 구매 목록은 O1·O7 제어 기판 J302 패드에 L66 리드를 납땜한 곳도 적었다. 배선 단계에서 쓴다.</v>
      </c>
    </row>
    <row r="27">
      <c r="A27" t="str">
        <v>엘레파츠</v>
      </c>
      <c r="B27" t="str">
        <v>센서·MCU·기판</v>
      </c>
      <c r="C27" t="str">
        <v>탄소피막 저항 1 kΩ (10개)</v>
      </c>
      <c r="D27" t="str">
        <v>[ABCO] CFR 1/4W 5% 탄소피막 저항 1kΩ (10개 단위)</v>
      </c>
      <c r="E27">
        <v>10</v>
      </c>
      <c r="F27" s="1">
        <v>25</v>
      </c>
      <c r="G27" s="1">
        <f>E27*F27</f>
        <v>250</v>
      </c>
      <c r="H27" t="str">
        <v>기본</v>
      </c>
      <c r="I27" t="str">
        <v>https://www.eleparts.co.kr/goods/view?no=10911</v>
      </c>
      <c r="J27" t="str">
        <v>1 kΩ 4개 사용. CU 칸 앰프 입력 저음 차단 필터의 풀다운 R701·R702(채널마다 1 µF 2개 병렬과 짝을 이루고, 앰프 입력 9 kΩ와 겹쳐 약 93 Hz), 페달 보드 ADC 입력 R501, 페달 안 센서 출력 바로 뒤 R551. [최소 주문 10개 · 10개 단위로 판매]</v>
      </c>
    </row>
    <row r="28">
      <c r="A28" t="str">
        <v>엘레파츠</v>
      </c>
      <c r="B28" t="str">
        <v>센서·MCU·기판</v>
      </c>
      <c r="C28" t="str">
        <v>탄소피막 저항 100 kΩ (10개)</v>
      </c>
      <c r="D28" t="str">
        <v>[ABCO] CFR 1/4W 5% 탄소피막 저항 100kΩ (10개 단위)</v>
      </c>
      <c r="E28">
        <v>10</v>
      </c>
      <c r="F28" s="1">
        <v>25</v>
      </c>
      <c r="G28" s="1">
        <f>E28*F28</f>
        <v>250</v>
      </c>
      <c r="H28" t="str">
        <v>기본</v>
      </c>
      <c r="I28" t="str">
        <v>https://www.eleparts.co.kr/goods/view?no=10993</v>
      </c>
      <c r="J28" t="str">
        <v>EXT 입력이 떠서 유령 음이 나지 않게 하는 풀다운이다(필수, △8). O1 제어 기판 R301·R302·R303(A0·A#0·B0), O7 제어 기판 R301(C8), 페달 보드 R502(팁 → GND) = 5개 사용. [최소 주문 10개 · 10개 단위로 판매]</v>
      </c>
    </row>
    <row r="29">
      <c r="A29" t="str">
        <v>엘레파츠</v>
      </c>
      <c r="B29" t="str">
        <v>센서·MCU·기판</v>
      </c>
      <c r="C29" t="str">
        <v>탄소피막 저항 100 Ω (10개)</v>
      </c>
      <c r="D29" t="str">
        <v>[ABCO] CFR 1/4W 5% 탄소피막 저항 100Ω (10개 단위)</v>
      </c>
      <c r="E29">
        <v>10</v>
      </c>
      <c r="F29" s="1">
        <v>25</v>
      </c>
      <c r="G29" s="1">
        <f>E29*F29</f>
        <v>250</v>
      </c>
      <c r="H29" t="str">
        <v>기본</v>
      </c>
      <c r="I29" t="str">
        <v>https://www.eleparts.co.kr/goods/view?no=10873</v>
      </c>
      <c r="J29" t="str">
        <v>페달 보드(PB, CU 칸 안)의 링 급전 저항 R503이다. 100 Ω 5개를 병렬로 묶어 20 Ω로 쓴다. 플러그를 꽂는 순간 3V3–GND가 이어져도 전류를 약 165 mA로 막아 페달 보드가 리셋되지 않게 한다(△4, 필수). [최소 주문 10개 · 10개 단위로 판매]</v>
      </c>
    </row>
    <row r="30">
      <c r="A30" t="str">
        <v>엘레파츠</v>
      </c>
      <c r="B30" t="str">
        <v>오디오</v>
      </c>
      <c r="C30" t="str">
        <v>PJ-313 3.5 mm 스테레오 잭</v>
      </c>
      <c r="D30" t="str">
        <v>[BSUN] PJ-313 3.5Ф 스테레오잭 (이어폰잭)</v>
      </c>
      <c r="E30">
        <v>2</v>
      </c>
      <c r="F30" s="1">
        <v>198</v>
      </c>
      <c r="G30" s="1">
        <f>E30*F30</f>
        <v>396</v>
      </c>
      <c r="H30" t="str">
        <v>기본</v>
      </c>
      <c r="I30" t="str">
        <v>https://www.eleparts.co.kr/goods/view?no=67811</v>
      </c>
      <c r="J30" t="str">
        <v>3개 모두 쓴다. ① 왼쪽 끝 부속 볼 앞면의 헤드폰 잭(J701) ② 가운데 유닛 I/O 판의 댐퍼 페달 잭(J501) ③ CU 트레이의 앰프 입력 잭(J702). 너트 없는 PCB형이라 만능기판 자투리에 납땜해서 단다. 자투리는 12×18 기판(i081) 둘째 장의 남는 부분에서 자른다. 5×7 기판 8장은 제어 기판과 페달 보드에 모두 쓰기 때문이다. 헤드폰 잭은 왼쪽 볼의 출력 포켓에 끼운다.</v>
      </c>
    </row>
    <row r="31">
      <c r="A31" t="str">
        <v>엘레파츠</v>
      </c>
      <c r="B31" t="str">
        <v>오디오</v>
      </c>
      <c r="C31" t="str">
        <v>XT30U-M 수 커넥터 (선 10 cm)</v>
      </c>
      <c r="D31" t="str">
        <v>[AMASS] XT30U-M 수 커넥터 18AWG 10cm 실리콘 와이어</v>
      </c>
      <c r="E31">
        <v>2</v>
      </c>
      <c r="F31" s="1">
        <v>1760</v>
      </c>
      <c r="G31" s="1">
        <f>E31*F31</f>
        <v>3520</v>
      </c>
      <c r="H31" t="str">
        <v>기본</v>
      </c>
      <c r="I31" t="str">
        <v>https://www.eleparts.co.kr/goods/view?no=12779720</v>
      </c>
      <c r="J31" t="str">
        <v>앰프 쪽 스피커선 커넥터다. 앰프 출력에서 뒷바 아래 케이블 통로를 지나 양 끝으로 나온 스피커선(C13, 약 0.6 m) 끝에 1개씩 납땜한다(왼쪽 X703, 오른쪽 X705). 설치할 때 통로 안 XT30 받침(스피커 파트 쪽)에 끼워 둔 암(XT30U-F)에 꽂는다.</v>
      </c>
    </row>
    <row r="32">
      <c r="A32" t="str">
        <v>엘레파츠</v>
      </c>
      <c r="B32" t="str">
        <v>오디오</v>
      </c>
      <c r="C32" t="str">
        <v>XT30U-F 암 커넥터 (선 10 cm)</v>
      </c>
      <c r="D32" t="str">
        <v>[AMASS] XT30U-F 암 커넥터 18AWG 10cm 실리콘 와이어</v>
      </c>
      <c r="E32">
        <v>2</v>
      </c>
      <c r="F32" s="1">
        <v>1760</v>
      </c>
      <c r="G32" s="1">
        <f>E32*F32</f>
        <v>3520</v>
      </c>
      <c r="H32" t="str">
        <v>기본</v>
      </c>
      <c r="I32" t="str">
        <v>https://www.eleparts.co.kr/goods/view?no=12779721</v>
      </c>
      <c r="J32" t="str">
        <v>스피커 쪽 커넥터다. 좌우 스피커 파트 안에서 유닛 단자에 이은 스피커선(C13, 약 0.3 m)을 앞판 아래 선 구멍으로 빼서 끝에 1개씩 납땜한다(왼쪽 X704, 오른쪽 X706). 이 커넥터를 케이블 통로 안의 출력 XT30 받침(스피커 파트 쪽)에 끼워 두고, 설치할 때 앰프 쪽 수(XT30U-M)를 꽂는다.</v>
      </c>
    </row>
    <row r="33">
      <c r="A33" t="str">
        <v>엘레파츠</v>
      </c>
      <c r="B33" t="str">
        <v>오디오</v>
      </c>
      <c r="C33" t="str">
        <v>스피커선 16 AWG 7 m (프리즘)</v>
      </c>
      <c r="D33" t="str">
        <v>[케이블스토어] 프리즘 국산 스피커케이블 50C 16AWG, 7M [블랙/PRS-50B07]</v>
      </c>
      <c r="E33">
        <v>1</v>
      </c>
      <c r="F33" s="1">
        <v>14300</v>
      </c>
      <c r="G33" s="1">
        <f>E33*F33</f>
        <v>14300</v>
      </c>
      <c r="H33" t="str">
        <v>소모품</v>
      </c>
      <c r="I33" t="str">
        <v>https://www.eleparts.co.kr/goods/view?no=18388615</v>
      </c>
      <c r="J33" t="str">
        <v>세 곳에 잘라 쓴다. 앰프 → 통로 → XT30 수 좌우 각 약 0.6 m(W703·W705), 스피커 파트 안 유닛 → XT30 암 각 약 0.3 m(W704·W706), 20 V 전원선 약 1 m(PD 트리거 → 퓨즈 → 스위치 → 앰프·강압 모듈, W602). 모두 약 2.8 m를 쓴다.</v>
      </c>
    </row>
    <row r="34">
      <c r="A34" t="str">
        <v>엘레파츠</v>
      </c>
      <c r="B34" t="str">
        <v>오디오</v>
      </c>
      <c r="C34" t="str">
        <v>3.5 mm 스테레오 AUX 선 1.5 m</v>
      </c>
      <c r="D34" t="str">
        <v>[AV0176] Coms 스테레오 케이블 1.5M AUX 3극 Stereo 3.5 M/M</v>
      </c>
      <c r="E34">
        <v>2</v>
      </c>
      <c r="F34" s="1">
        <v>1710</v>
      </c>
      <c r="G34" s="1">
        <f>E34*F34</f>
        <v>3420</v>
      </c>
      <c r="H34" t="str">
        <v>소모품</v>
      </c>
      <c r="I34" t="str">
        <v>https://www.eleparts.co.kr/goods/view?no=2925673</v>
      </c>
      <c r="J34" t="str">
        <v>2가닥을 쓴다. 선 ①(W701)은 CU의 동글(L51) → 왼쪽 볼 헤드폰 잭(J701), 선 ②(W702)는 헤드폰 잭 노멀 접점 → CU 트레이 앰프 입력 잭(J702)이다. 둘 다 끝 부속 쪽 플러그를 잘라 잭에 납땜하고 CU 쪽 플러그만 남긴다(각 약 0.7 m 사용).</v>
      </c>
    </row>
    <row r="35">
      <c r="A35" t="str">
        <v>엘레파츠</v>
      </c>
      <c r="B35" t="str">
        <v>본체·결합</v>
      </c>
      <c r="C35" t="str">
        <v>화성고무 피스고무발 28×5 (RUB-E2)</v>
      </c>
      <c r="D35" t="str">
        <v>[화성고무] 피스고무발 / 28x5 (RUB-E2)</v>
      </c>
      <c r="E35">
        <v>20</v>
      </c>
      <c r="F35" s="1">
        <v>583</v>
      </c>
      <c r="G35" s="1">
        <f>E35*F35</f>
        <v>11660</v>
      </c>
      <c r="H35" t="str">
        <v>기본</v>
      </c>
      <c r="I35" t="str">
        <v>https://www.eleparts.co.kr/goods/view?no=16628292</v>
      </c>
      <c r="J35" t="str">
        <v>왼쪽·오른쪽 스피커 파트 밑에 4개씩, 가운데 유닛 밑에 6개 = 14개를 25 mm 직결피스로 단다. 출력 받침 4 mm와 함께 뒷바를 22 mm 띄워, 그 아래 앞쪽을 USB 케이블 통로로 쓴다. 본체와 스피커의 진동도 떼어 놓는다. [최소 주문 20개]</v>
      </c>
    </row>
    <row r="36">
      <c r="A36" t="str">
        <v>엘레파츠</v>
      </c>
      <c r="B36" t="str">
        <v>배송비</v>
      </c>
      <c r="C36" t="str">
        <v>배송비</v>
      </c>
      <c r="D36" t="str">
        <v/>
      </c>
      <c r="E36">
        <v>1</v>
      </c>
      <c r="F36" s="1">
        <v>3000</v>
      </c>
      <c r="G36" s="1">
        <f>E36*F36</f>
        <v>3000</v>
      </c>
      <c r="H36" t="str">
        <v>배송비</v>
      </c>
      <c r="I36" t="str">
        <v/>
      </c>
      <c r="J36" t="str">
        <v>66,000원 이상 무료</v>
      </c>
    </row>
    <row r="37">
      <c r="A37" t="str">
        <v/>
      </c>
      <c r="B37" t="str">
        <v/>
      </c>
      <c r="C37" t="str">
        <v>엘레파츠 소계</v>
      </c>
      <c r="D37" t="str">
        <v/>
      </c>
      <c r="E37" t="str">
        <v/>
      </c>
      <c r="F37" t="str">
        <v/>
      </c>
      <c r="G37" s="1">
        <f>SUM(G20:G36)</f>
        <v>55238</v>
      </c>
    </row>
    <row r="39">
      <c r="A39" t="str">
        <v>동진나무공장</v>
      </c>
      <c r="B39" t="str">
        <v>본체·결합</v>
      </c>
      <c r="C39" t="str">
        <v>오꾸메 합판 400×1200×11.5 (스피커)</v>
      </c>
      <c r="D39" t="str">
        <v>무료배송 오꾸메 합판 400×1200×11.5mm 무료재단</v>
      </c>
      <c r="E39">
        <v>1</v>
      </c>
      <c r="F39" s="1">
        <v>17680</v>
      </c>
      <c r="G39" s="1">
        <f>E39*F39</f>
        <v>17680</v>
      </c>
      <c r="H39" t="str">
        <v>기본</v>
      </c>
      <c r="I39" t="str">
        <v>https://namugongjang.com/product/detail.html?product_no=1378</v>
      </c>
      <c r="J39" t="str">
        <v>왼쪽·오른쪽 스피커 파트의 밀폐 상자 2개(외형 180 × 195 × 210, 안 5.05 L)를 이 한 장에서 잘라 만든다. 상자마다 옆판 2·뒤판 1·위아래판 2 = 5장, 모두 10장. 앞판(배플)은 PETG 출력이다.</v>
      </c>
    </row>
    <row r="40">
      <c r="A40" t="str">
        <v>동진나무공장</v>
      </c>
      <c r="B40" t="str">
        <v>본체·결합</v>
      </c>
      <c r="C40" t="str">
        <v>오꾸메 합판 600×1200×11.5 (가운데 유닛)</v>
      </c>
      <c r="D40" t="str">
        <v>무료배송 오꾸메 합판 600×1200×11.5mm 무료재단</v>
      </c>
      <c r="E40">
        <v>1</v>
      </c>
      <c r="F40" s="1">
        <v>22520</v>
      </c>
      <c r="G40" s="1">
        <f>E40*F40</f>
        <v>22520</v>
      </c>
      <c r="H40" t="str">
        <v>기본</v>
      </c>
      <c r="I40" t="str">
        <v>https://namugongjang.com/product/detail.html?product_no=1378</v>
      </c>
      <c r="J40" t="str">
        <v>가운데 유닛 상자(894 × 195 × 100: 예비 건반 보관함·CU 칸·보조배터리 칸)를 이 한 장에서 만든다. 바닥 2·뚜껑 2·앞판 1·뒤판 2·끝판 2·칸막이 2 = 11장.</v>
      </c>
    </row>
    <row r="41">
      <c r="A41" t="str">
        <v>동진나무공장</v>
      </c>
      <c r="B41" t="str">
        <v>배송비</v>
      </c>
      <c r="C41" t="str">
        <v>배송비</v>
      </c>
      <c r="D41" t="str">
        <v/>
      </c>
      <c r="E41">
        <v>1</v>
      </c>
      <c r="F41" s="1">
        <v>0</v>
      </c>
      <c r="G41" s="1">
        <f>E41*F41</f>
        <v>0</v>
      </c>
      <c r="H41" t="str">
        <v>배송비</v>
      </c>
      <c r="I41" t="str">
        <v/>
      </c>
      <c r="J41" t="str">
        <v/>
      </c>
    </row>
    <row r="42">
      <c r="A42" t="str">
        <v/>
      </c>
      <c r="B42" t="str">
        <v/>
      </c>
      <c r="C42" t="str">
        <v>동진나무공장 소계</v>
      </c>
      <c r="D42" t="str">
        <v/>
      </c>
      <c r="E42" t="str">
        <v/>
      </c>
      <c r="F42" t="str">
        <v/>
      </c>
      <c r="G42" s="1">
        <f>SUM(G39:G41)</f>
        <v>40200</v>
      </c>
    </row>
    <row r="44">
      <c r="A44" t="str">
        <v>올스틸샵</v>
      </c>
      <c r="B44" t="str">
        <v>건반 액션</v>
      </c>
      <c r="C44" t="str">
        <v>강철 띠 9T×19×1 m (강철 블록용)</v>
      </c>
      <c r="D44" t="str">
        <v>사각철판 9T (SS275) 19×1000 맞춤 재단</v>
      </c>
      <c r="E44">
        <v>4</v>
      </c>
      <c r="F44" s="1">
        <v>8610</v>
      </c>
      <c r="G44" s="1">
        <f>E44*F44</f>
        <v>34440</v>
      </c>
      <c r="H44" t="str">
        <v>기본</v>
      </c>
      <c r="I44" t="str">
        <v>https://www.allsteelshop.com/product/squareplate/9t</v>
      </c>
      <c r="J44" t="str">
        <v>1 m 띠를 40 mm씩 잘라 강철 블록(9×19×40, 53.7 g)을 만든다. 블록은 레버 캐리어에 밑에서 스냅으로 끼우고 MS 폴리머로 붙이는 무게 추이며, 드러난 윗면이 업스톱 패드에 닿는다. 레버마다 1개로 모듈 12 × 7 + 끝 부속 4 = 88개를 쓴다.</v>
      </c>
    </row>
    <row r="45">
      <c r="A45" t="str">
        <v>올스틸샵</v>
      </c>
      <c r="B45" t="str">
        <v>배송비</v>
      </c>
      <c r="C45" t="str">
        <v>배송비</v>
      </c>
      <c r="D45" t="str">
        <v/>
      </c>
      <c r="E45">
        <v>1</v>
      </c>
      <c r="F45" s="1">
        <v>3500</v>
      </c>
      <c r="G45" s="1">
        <f>E45*F45</f>
        <v>3500</v>
      </c>
      <c r="H45" t="str">
        <v>배송비</v>
      </c>
      <c r="I45" t="str">
        <v/>
      </c>
      <c r="J45" t="str">
        <v/>
      </c>
    </row>
    <row r="46">
      <c r="A46" t="str">
        <v/>
      </c>
      <c r="B46" t="str">
        <v/>
      </c>
      <c r="C46" t="str">
        <v>올스틸샵 소계</v>
      </c>
      <c r="D46" t="str">
        <v/>
      </c>
      <c r="E46" t="str">
        <v/>
      </c>
      <c r="F46" t="str">
        <v/>
      </c>
      <c r="G46" s="1">
        <f>SUM(G44:G45)</f>
        <v>37940</v>
      </c>
    </row>
    <row r="48">
      <c r="A48" t="str">
        <v>파츠파츠 직영몰 · 파츠파츠</v>
      </c>
      <c r="B48" t="str">
        <v>센서·MCU·기판</v>
      </c>
      <c r="C48" t="str">
        <v>RP2040-Zero 보드 (PP-A799-2)</v>
      </c>
      <c r="D48" t="str">
        <v>(PP-A799-2) 라즈베리 파이 피코 PICO RP2040-ZERO</v>
      </c>
      <c r="E48">
        <v>8</v>
      </c>
      <c r="F48" s="1">
        <v>3300</v>
      </c>
      <c r="G48" s="1">
        <f>E48*F48</f>
        <v>26400</v>
      </c>
      <c r="H48" t="str">
        <v>기본</v>
      </c>
      <c r="I48" t="str">
        <v>https://parts-parts.co.kr/product/detail.html?product_no=2383</v>
      </c>
      <c r="J48" t="str">
        <v>모듈 O1~O7 제어 기판마다 1개(7개) + CU 칸 페달 보드 1개 = 8개. 먹스를 돌려 센서 값을 읽고 속도를 계산해 USB-MIDI 장치('Toccata O1'~'O7', 'Toccata PED')가 된다. 안쪽 구멍에 핀 헤더 1×9 ×2(몰드 뺌)로 세워 납땜하고, 밑면 부품 위에 캡톤을 깐다(약 +1.3 mm).</v>
      </c>
    </row>
    <row r="49">
      <c r="A49" t="str">
        <v>파츠파츠 직영몰 · 파츠파츠</v>
      </c>
      <c r="B49" t="str">
        <v>센서·MCU·기판</v>
      </c>
      <c r="C49" t="str">
        <v>16채널 먹스 모듈 CD74HC4067</v>
      </c>
      <c r="D49" t="str">
        <v>(PP-A324) 16채널 아날로그/디지털 멀티플렉서 모듈</v>
      </c>
      <c r="E49">
        <v>7</v>
      </c>
      <c r="F49" s="1">
        <v>500</v>
      </c>
      <c r="G49" s="1">
        <f>E49*F49</f>
        <v>3500</v>
      </c>
      <c r="H49" t="str">
        <v>기본</v>
      </c>
      <c r="I49" t="str">
        <v>https://parts-parts.co.kr/product/detail.html?product_no=303</v>
      </c>
      <c r="J49" t="str">
        <v>모듈 O1~O7 제어 기판마다 1개(x54.93~72.71에 세로로) = 7개. 그 옥타브 홀센서 12개(C0~C11)와 끝 부속 EXT(C12~C15: O1은 A0·A#0·B0, O7은 C8)를 RP2040-Zero ADC0(GP26) 한 채널로 읽는다. 소켓 없이 핀헤더로 기판에 바로 납땜한다.</v>
      </c>
    </row>
    <row r="50">
      <c r="A50" t="str">
        <v>파츠파츠 직영몰 · 파츠파츠</v>
      </c>
      <c r="B50" t="str">
        <v>배송비</v>
      </c>
      <c r="C50" t="str">
        <v>배송비</v>
      </c>
      <c r="D50" t="str">
        <v/>
      </c>
      <c r="E50">
        <v>1</v>
      </c>
      <c r="F50" s="1">
        <v>3000</v>
      </c>
      <c r="G50" s="1">
        <f>E50*F50</f>
        <v>3000</v>
      </c>
      <c r="H50" t="str">
        <v>배송비</v>
      </c>
      <c r="I50" t="str">
        <v/>
      </c>
      <c r="J50" t="str">
        <v>100,000원 이상 무료</v>
      </c>
    </row>
    <row r="51">
      <c r="A51" t="str">
        <v/>
      </c>
      <c r="B51" t="str">
        <v/>
      </c>
      <c r="C51" t="str">
        <v>파츠파츠 직영몰 · 파츠파츠 소계</v>
      </c>
      <c r="D51" t="str">
        <v/>
      </c>
      <c r="E51" t="str">
        <v/>
      </c>
      <c r="F51" t="str">
        <v/>
      </c>
      <c r="G51" s="1">
        <f>SUM(G48:G50)</f>
        <v>32900</v>
      </c>
    </row>
    <row r="53">
      <c r="A53" t="str">
        <v>한국미스미</v>
      </c>
      <c r="B53" t="str">
        <v>건반 액션</v>
      </c>
      <c r="C53" t="str">
        <v>미스미 토션스프링 C-UA90R5-3-0.5</v>
      </c>
      <c r="D53" t="str">
        <v>한국미스미 경제형 토션스프링 C-UA90R5-3-0.5 (SUS304-WPB, 내경 5 · 선경 0.5 · 3권 · 암 각 90° 오른쪽 감기, 암 50/50)</v>
      </c>
      <c r="E53">
        <v>100</v>
      </c>
      <c r="F53" s="1">
        <v>310</v>
      </c>
      <c r="G53" s="1">
        <f>E53*F53</f>
        <v>31000</v>
      </c>
      <c r="H53" t="str">
        <v>기본</v>
      </c>
      <c r="I53" t="str">
        <v>https://kr.misumi-ec.com/vona2/detail/110310556289/?HissuCode=C-UA90R5-3-0.5</v>
      </c>
      <c r="J53" t="str">
        <v>레버 허브의 스프링 주머니(Ø6.6×3.0)에 넣고 레버 봉에 꿴다. 짧은 다리(8.0)는 허브의 가둠 홈에, 긴 다리(22.3)는 뒷벽 홈에 걸어 레버를 아래로 민다(DW 51.9 g 중 약 11 g). 레버마다 1개로 88개를 쓴다. 단계 0 시험 8에 1개, 시험 13에 3개를 더 쓰고(합 92개), 남는 8개는 보관함 옆 칸에 둔다. [100개 이상 개당 310원, 그 아래는 개당 365원]</v>
      </c>
    </row>
    <row r="54">
      <c r="A54" t="str">
        <v>한국미스미</v>
      </c>
      <c r="B54" t="str">
        <v>배송비</v>
      </c>
      <c r="C54" t="str">
        <v>배송비</v>
      </c>
      <c r="D54" t="str">
        <v/>
      </c>
      <c r="E54">
        <v>1</v>
      </c>
      <c r="F54" s="1">
        <v>0</v>
      </c>
      <c r="G54" s="1">
        <f>E54*F54</f>
        <v>0</v>
      </c>
      <c r="H54" t="str">
        <v>배송비</v>
      </c>
      <c r="I54" t="str">
        <v/>
      </c>
      <c r="J54" t="str">
        <v/>
      </c>
    </row>
    <row r="55">
      <c r="A55" t="str">
        <v/>
      </c>
      <c r="B55" t="str">
        <v/>
      </c>
      <c r="C55" t="str">
        <v>한국미스미 소계</v>
      </c>
      <c r="D55" t="str">
        <v/>
      </c>
      <c r="E55" t="str">
        <v/>
      </c>
      <c r="F55" t="str">
        <v/>
      </c>
      <c r="G55" s="1">
        <f>SUM(G53:G54)</f>
        <v>31000</v>
      </c>
    </row>
    <row r="57">
      <c r="A57" t="str">
        <v>나비엠알오</v>
      </c>
      <c r="B57" t="str">
        <v>본체·결합</v>
      </c>
      <c r="C57" t="str">
        <v>오공 205 목공본드 800 g</v>
      </c>
      <c r="D57" t="str">
        <v>[오공] 목공용 수성 접착제 (205본드) 800g K01424797</v>
      </c>
      <c r="E57">
        <v>1</v>
      </c>
      <c r="F57" s="1">
        <v>3949</v>
      </c>
      <c r="G57" s="1">
        <f>E57*F57</f>
        <v>3949</v>
      </c>
      <c r="H57" t="str">
        <v>소모품</v>
      </c>
      <c r="I57" t="str">
        <v>https://www.navimro.com/g/395062/</v>
      </c>
      <c r="J57" t="str">
        <v>스피커 상자 2개(합판 10장)와 가운데 유닛(합판 11장)을 붙인다. 출력 앞판 둘레도 이것으로 밀봉한다. 드릴 없이 본드로만 붙이고 마스킹테이프로 눌러 굳힌다.</v>
      </c>
    </row>
    <row r="58">
      <c r="A58" t="str">
        <v>나비엠알오</v>
      </c>
      <c r="B58" t="str">
        <v>건반 액션</v>
      </c>
      <c r="C58" t="str">
        <v>OHP 필름 A4 0.1 mm 20매 (PET 심용)</v>
      </c>
      <c r="D58" t="str">
        <v>OHP 필름 (A4) 흑백 레이저용 1PK(20매) — 카피어랜드</v>
      </c>
      <c r="E58">
        <v>1</v>
      </c>
      <c r="F58" s="1">
        <v>2739</v>
      </c>
      <c r="G58" s="1">
        <f>E58*F58</f>
        <v>2739</v>
      </c>
      <c r="H58" t="str">
        <v>소모품</v>
      </c>
      <c r="I58" t="str">
        <v>https://www.navimro.com/g/37021/</v>
      </c>
      <c r="J58" t="str">
        <v>업스톱 패드와 패드 바 쐐기 사이에 끼우는 0.1 mm PET 심이다. 6×12.2로 잘라 조립 10단계와 12장 업스톱 시점 조정에서 건반마다 필요한 만큼 넣고 뺀다(부품표 추정 약 50장). 단계 0 시험 1·6·12·14에서는 얇은 게이지로도 쓴다. 남는 심은 건반 보관함 작은 부품 통에 둔다.</v>
      </c>
    </row>
    <row r="59">
      <c r="A59" t="str">
        <v>나비엠알오</v>
      </c>
      <c r="B59" t="str">
        <v>건반 액션</v>
      </c>
      <c r="C59" t="str">
        <v>WAKI PORON 5T 점착 100×100 (PON-02)</v>
      </c>
      <c r="D59" t="str">
        <v>[와키(WAKI)] PORON 스폰지 접착 부착 PON-02 (100×100×5, 검정, 아크릴 점착)</v>
      </c>
      <c r="E59">
        <v>1</v>
      </c>
      <c r="F59" s="1">
        <v>3399</v>
      </c>
      <c r="G59" s="1">
        <f>E59*F59</f>
        <v>3399</v>
      </c>
      <c r="H59" t="str">
        <v>기본</v>
      </c>
      <c r="I59" t="str">
        <v>https://www.navimro.com/g/1028764/</v>
      </c>
      <c r="J59" t="str">
        <v>업스톱 패드에 들어가는 폼이다. 6×12.2로 잘라 강철이 닿는 쪽에 펠트 1T를 겹치고 패드 바 쐐기에 붙인다. 모듈마다 12개 × 7 + 끝 부속 4 = 88개에, 예비 12개(건반 보관함 옆 칸)를 더해 100개를 쓴다.</v>
      </c>
    </row>
    <row r="60">
      <c r="A60" t="str">
        <v>나비엠알오</v>
      </c>
      <c r="B60" t="str">
        <v>건반 액션</v>
      </c>
      <c r="C60" t="str">
        <v>WAKI 하네나이트 1T 170×245 (HNT002)</v>
      </c>
      <c r="D60" t="str">
        <v>[와키(WAKI)] 충격흡수재 하네나이트 HNT002 (170×245×1, 검정)</v>
      </c>
      <c r="E60">
        <v>1</v>
      </c>
      <c r="F60" s="1">
        <v>16489</v>
      </c>
      <c r="G60" s="1">
        <f>E60*F60</f>
        <v>16489</v>
      </c>
      <c r="H60" t="str">
        <v>기본</v>
      </c>
      <c r="I60" t="str">
        <v>https://www.navimro.com/g/1029233/</v>
      </c>
      <c r="J60" t="str">
        <v>앞 레일의 앞 펠트 2T 밑에 까는 1T 저반발 층이다(S21·S22). 백건 줄은 모듈 7개·끝 부속 2개마다 전체 폭 띠(y1.5~9.0, 폭 7.5, 합쳐 약 1.2 m)로, 흑건은 36개 자리마다 조각(y54.5~59.0, 폭 4.5 × 약 10.4)으로 잘라 붙인다. 필요한 면적은 약 110 cm²이다(추정).</v>
      </c>
    </row>
    <row r="61">
      <c r="A61" t="str">
        <v>나비엠알오</v>
      </c>
      <c r="B61" t="str">
        <v>공구</v>
      </c>
      <c r="C61" t="str">
        <v>Ø4.0 HSS 드릴 날 SD 4.0</v>
      </c>
      <c r="D61" t="str">
        <v>[나비엠알오] 스트레이트 드릴 SD 4.0</v>
      </c>
      <c r="E61">
        <v>1</v>
      </c>
      <c r="F61" s="1">
        <v>990</v>
      </c>
      <c r="G61" s="1">
        <f>E61*F61</f>
        <v>990</v>
      </c>
      <c r="H61" t="str">
        <v>공구</v>
      </c>
      <c r="I61" t="str">
        <v>https://www.navimro.com/g/171100/</v>
      </c>
      <c r="J61" t="str">
        <v>Ø3.9로 출력한 구멍을 Ø4.0으로 넓혀 Ø4 봉이 부드럽게 들어가고 레버가 잘 돌게 한다. 레버 캐리어 허브 88개, 모듈 프레임 핀 보스 5 × 7 = 35개, 끝 부속 핀 보스, 출력 공구(지그 K·L 구멍, 가짜 레버 허브), 단계 0 시편(C01a·b·d, C06a)까지 모두 약 130구멍이다.</v>
      </c>
    </row>
    <row r="62">
      <c r="A62" t="str">
        <v>나비엠알오</v>
      </c>
      <c r="B62" t="str">
        <v>배송비</v>
      </c>
      <c r="C62" t="str">
        <v>배송비</v>
      </c>
      <c r="D62" t="str">
        <v/>
      </c>
      <c r="E62">
        <v>1</v>
      </c>
      <c r="F62" s="1">
        <v>3300</v>
      </c>
      <c r="G62" s="1">
        <f>E62*F62</f>
        <v>3300</v>
      </c>
      <c r="H62" t="str">
        <v>배송비</v>
      </c>
      <c r="I62" t="str">
        <v/>
      </c>
      <c r="J62" t="str">
        <v>55,000원 이상 무료</v>
      </c>
    </row>
    <row r="63">
      <c r="A63" t="str">
        <v/>
      </c>
      <c r="B63" t="str">
        <v/>
      </c>
      <c r="C63" t="str">
        <v>나비엠알오 소계</v>
      </c>
      <c r="D63" t="str">
        <v/>
      </c>
      <c r="E63" t="str">
        <v/>
      </c>
      <c r="F63" t="str">
        <v/>
      </c>
      <c r="G63" s="1">
        <f>SUM(G57:G62)</f>
        <v>30866</v>
      </c>
    </row>
    <row r="65">
      <c r="A65" t="str">
        <v>스튜디오분트</v>
      </c>
      <c r="B65" t="str">
        <v>건반 액션</v>
      </c>
      <c r="C65" t="str">
        <v>메리노 울 펠트 2T 20×30 cm (35 블랙)</v>
      </c>
      <c r="D65" t="str">
        <v>100% 메리노양모 70수 펠트지 2mm 20×30cm (35 블랙)</v>
      </c>
      <c r="E65">
        <v>1</v>
      </c>
      <c r="F65" s="1">
        <v>13800</v>
      </c>
      <c r="G65" s="1">
        <f>E65*F65</f>
        <v>13800</v>
      </c>
      <c r="H65" t="str">
        <v>기본</v>
      </c>
      <c r="I65" t="str">
        <v>https://studiobunt.com/product/detail.html?product_no=4117</v>
      </c>
      <c r="J65" t="str">
        <v>세 곳에 쓴다. 레버 88개 밑 캡스턴 펠트 띠(폭 7 × y176.5~192.0), 앞 레일의 앞 펠트(백건 줄은 모듈 7개·끝 부속 2개 전체 폭 y1.5~9.0 띠, 흑건은 36개 자리마다 y54.5~59.0 조각; 둘 다 하네나이트 1T 위), 키퍼 훅 88개 밑 펠트(5.2 × 3)이다. 한 장(600 cm²) 가운데 약 220 cm²를 쓴다(r4.5 치수로 다시 셈, 추정).</v>
      </c>
    </row>
    <row r="66">
      <c r="A66" t="str">
        <v>스튜디오분트</v>
      </c>
      <c r="B66" t="str">
        <v>건반 액션</v>
      </c>
      <c r="C66" t="str">
        <v>메리노 울 펠트 1T 20×30 cm (80 블랙)</v>
      </c>
      <c r="D66" t="str">
        <v>100% 메리노양모 70수 펠트지 1mm 20×30cm (80 블랙)</v>
      </c>
      <c r="E66">
        <v>1</v>
      </c>
      <c r="F66" s="1">
        <v>6900</v>
      </c>
      <c r="G66" s="1">
        <f>E66*F66</f>
        <v>6900</v>
      </c>
      <c r="H66" t="str">
        <v>기본</v>
      </c>
      <c r="I66" t="str">
        <v>https://studiobunt.com/product/detail.html?product_no=1157</v>
      </c>
      <c r="J66" t="str">
        <v>두 곳에 쓴다. 업스톱 패드 100개(88 + 예비 12)의 강철이 닿는 면 펠트(6×12.2)와, 건반 104개(88 + 예비 16) 꼬리 밑 쉼 펠트 1.5T의 바탕이다. 쉼 펠트는 이 1T 위에 0.5T 천을 한 겹 붙여 2.7×8로 자른다(F·F#는 더 짧게). 한 장(600 cm²) 가운데 약 100 cm²를 쓴다(추정).</v>
      </c>
    </row>
    <row r="67">
      <c r="A67" t="str">
        <v>스튜디오분트</v>
      </c>
      <c r="B67" t="str">
        <v>배송비</v>
      </c>
      <c r="C67" t="str">
        <v>배송비</v>
      </c>
      <c r="D67" t="str">
        <v/>
      </c>
      <c r="E67">
        <v>1</v>
      </c>
      <c r="F67" s="1">
        <v>3000</v>
      </c>
      <c r="G67" s="1">
        <f>E67*F67</f>
        <v>3000</v>
      </c>
      <c r="H67" t="str">
        <v>배송비</v>
      </c>
      <c r="I67" t="str">
        <v/>
      </c>
      <c r="J67" t="str">
        <v>50,000원 이상 무료</v>
      </c>
    </row>
    <row r="68">
      <c r="A68" t="str">
        <v/>
      </c>
      <c r="B68" t="str">
        <v/>
      </c>
      <c r="C68" t="str">
        <v>스튜디오분트 소계</v>
      </c>
      <c r="D68" t="str">
        <v/>
      </c>
      <c r="E68" t="str">
        <v/>
      </c>
      <c r="F68" t="str">
        <v/>
      </c>
      <c r="G68" s="1">
        <f>SUM(G65:G67)</f>
        <v>23700</v>
      </c>
    </row>
    <row r="70">
      <c r="A70" t="str">
        <v>11번가 · 세운상가새한음향</v>
      </c>
      <c r="B70" t="str">
        <v>오디오</v>
      </c>
      <c r="C70" t="str">
        <v>삼미 CW-100B25 4인치 스피커 8 Ω</v>
      </c>
      <c r="D70" t="str">
        <v>삼미스피커(SAAT) CW-100B25 4인치 풀레인지 8Ω 25W (KS 인증)</v>
      </c>
      <c r="E70">
        <v>2</v>
      </c>
      <c r="F70" s="1">
        <v>9600</v>
      </c>
      <c r="G70" s="1">
        <f>E70*F70</f>
        <v>19200</v>
      </c>
      <c r="H70" t="str">
        <v>기본</v>
      </c>
      <c r="I70" t="str">
        <v>https://www.11st.co.kr/products/1565354988</v>
      </c>
      <c r="J70" t="str">
        <v>좌우 스피커 파트(뒷바 양 끝, 오꾸메 밀폐 상자 내부 5.05 L)의 PETG 앞판 컷아웃(Ø94)에 1개씩 = 2개. 연주자 쪽을 향하게 EVA 가스켓(MEV1 3T 자투리)을 대고 직결피스 16 mm(L49) 4개씩으로 조인다. 선은 앞판 아래 선 구멍(본드로 막음)으로 빼서 XT30 암(L61)에 잇는다.</v>
      </c>
    </row>
    <row r="71">
      <c r="A71" t="str">
        <v>11번가 · 세운상가새한음향</v>
      </c>
      <c r="B71" t="str">
        <v>배송비</v>
      </c>
      <c r="C71" t="str">
        <v>배송비</v>
      </c>
      <c r="D71" t="str">
        <v/>
      </c>
      <c r="E71">
        <v>1</v>
      </c>
      <c r="F71" s="1">
        <v>4000</v>
      </c>
      <c r="G71" s="1">
        <f>E71*F71</f>
        <v>4000</v>
      </c>
      <c r="H71" t="str">
        <v>배송비</v>
      </c>
      <c r="I71" t="str">
        <v/>
      </c>
      <c r="J71" t="str">
        <v>100,000원 이상 무료</v>
      </c>
    </row>
    <row r="72">
      <c r="A72" t="str">
        <v/>
      </c>
      <c r="B72" t="str">
        <v/>
      </c>
      <c r="C72" t="str">
        <v>11번가 · 세운상가새한음향 소계</v>
      </c>
      <c r="D72" t="str">
        <v/>
      </c>
      <c r="E72" t="str">
        <v/>
      </c>
      <c r="F72" t="str">
        <v/>
      </c>
      <c r="G72" s="1">
        <f>SUM(G70:G71)</f>
        <v>23200</v>
      </c>
    </row>
    <row r="74">
      <c r="A74" t="str">
        <v>나사코리아 nasakorea.com</v>
      </c>
      <c r="B74" t="str">
        <v>건반 액션</v>
      </c>
      <c r="C74" t="str">
        <v>밸런스 핀 Ø2×12 SUS304 (100개)</v>
      </c>
      <c r="D74" t="str">
        <v>다올핀 M2*6~20 STS304 GB119.1(ISO2338) — 옵션 2*12/100개/스텐STS304</v>
      </c>
      <c r="E74">
        <v>1</v>
      </c>
      <c r="F74" s="1">
        <v>16600</v>
      </c>
      <c r="G74" s="1">
        <f>E74*F74</f>
        <v>16600</v>
      </c>
      <c r="H74" t="str">
        <v>기본</v>
      </c>
      <c r="I74" t="str">
        <v>https://www.nasakorea.com/goods/goods_view.php?goodsNo=6009</v>
      </c>
      <c r="J74" t="str">
        <v>밸런스 레일(y135.3)에 핀 높이 게이지(T3)로 눌러 넣고 꼭대기를 z23.30에 맞춘다. 건반 블록 밑 홈(천 0.5T)이 이 핀을 물어 건반 뒤쪽의 좌우 위치를 잡는다. 모듈 12 × 7 + 끝 부속 4 = 88개를 쓴다. 이 밖에 벤치 지그(T1a) 핀 구멍에 1개, 단계 0 시험 P 쿠폰(C07a, 구멍 5개)에 5개까지 쓴다. 4개는 보관함 작은 부품 통에 둔다.</v>
      </c>
    </row>
    <row r="75">
      <c r="A75" t="str">
        <v>나사코리아 nasakorea.com</v>
      </c>
      <c r="B75" t="str">
        <v>배송비</v>
      </c>
      <c r="C75" t="str">
        <v>배송비</v>
      </c>
      <c r="D75" t="str">
        <v/>
      </c>
      <c r="E75">
        <v>1</v>
      </c>
      <c r="F75" s="1">
        <v>3300</v>
      </c>
      <c r="G75" s="1">
        <f>E75*F75</f>
        <v>3300</v>
      </c>
      <c r="H75" t="str">
        <v>배송비</v>
      </c>
      <c r="I75" t="str">
        <v/>
      </c>
      <c r="J75" t="str">
        <v>100,000원 이상 무료</v>
      </c>
    </row>
    <row r="76">
      <c r="A76" t="str">
        <v/>
      </c>
      <c r="B76" t="str">
        <v/>
      </c>
      <c r="C76" t="str">
        <v>나사코리아 nasakorea.com 소계</v>
      </c>
      <c r="D76" t="str">
        <v/>
      </c>
      <c r="E76" t="str">
        <v/>
      </c>
      <c r="F76" t="str">
        <v/>
      </c>
      <c r="G76" s="1">
        <f>SUM(G74:G75)</f>
        <v>19900</v>
      </c>
    </row>
    <row r="78">
      <c r="A78" t="str">
        <v>11번가 · 주영종합상사</v>
      </c>
      <c r="B78" t="str">
        <v>건반 액션</v>
      </c>
      <c r="C78" t="str">
        <v>세메다인 슈퍼X 백색 20 mL (MS 폴리머)</v>
      </c>
      <c r="D78" t="str">
        <v>세메다인 슈퍼X 8008 탄성접착제 백색 20 mL (AX-022)</v>
      </c>
      <c r="E78">
        <v>2</v>
      </c>
      <c r="F78" s="1">
        <v>8000</v>
      </c>
      <c r="G78" s="1">
        <f>E78*F78</f>
        <v>16000</v>
      </c>
      <c r="H78" t="str">
        <v>소모품</v>
      </c>
      <c r="I78" t="str">
        <v>https://www.11st.co.kr/products/7459325704</v>
      </c>
      <c r="J78" t="str">
        <v>레버 캐리어에 강철 블록을 붙이는 탄성 접착제다. 강철의 두 19×40 옆면에 얇게(블록당 약 0.2 mL) 바르고 밑에서 스냅으로 끼운 뒤 24시간 굳힌다. 조립 4단계에서 레버 88개에, 단계 0 시험 20에서 캐리어 2개에 쓴다.</v>
      </c>
    </row>
    <row r="79">
      <c r="A79" t="str">
        <v>11번가 · 주영종합상사</v>
      </c>
      <c r="B79" t="str">
        <v>배송비</v>
      </c>
      <c r="C79" t="str">
        <v>배송비</v>
      </c>
      <c r="D79" t="str">
        <v/>
      </c>
      <c r="E79">
        <v>1</v>
      </c>
      <c r="F79" s="1">
        <v>3000</v>
      </c>
      <c r="G79" s="1">
        <f>E79*F79</f>
        <v>3000</v>
      </c>
      <c r="H79" t="str">
        <v>배송비</v>
      </c>
      <c r="I79" t="str">
        <v/>
      </c>
      <c r="J79" t="str">
        <v/>
      </c>
    </row>
    <row r="80">
      <c r="A80" t="str">
        <v/>
      </c>
      <c r="B80" t="str">
        <v/>
      </c>
      <c r="C80" t="str">
        <v>11번가 · 주영종합상사 소계</v>
      </c>
      <c r="D80" t="str">
        <v/>
      </c>
      <c r="E80" t="str">
        <v/>
      </c>
      <c r="F80" t="str">
        <v/>
      </c>
      <c r="G80" s="1">
        <f>SUM(G78:G79)</f>
        <v>19000</v>
      </c>
    </row>
    <row r="82">
      <c r="A82" t="str">
        <v>Apple Store 온라인</v>
      </c>
      <c r="B82" t="str">
        <v>오디오</v>
      </c>
      <c r="C82" t="str">
        <v>Apple USB-C 헤드폰 어댑터</v>
      </c>
      <c r="D82" t="str">
        <v>Apple USB-C–3.5mm 헤드폰 잭 어댑터 (MW2Q3KH/A)</v>
      </c>
      <c r="E82">
        <v>1</v>
      </c>
      <c r="F82" s="1">
        <v>14900</v>
      </c>
      <c r="G82" s="1">
        <f>E82*F82</f>
        <v>14900</v>
      </c>
      <c r="H82" t="str">
        <v>기본</v>
      </c>
      <c r="I82" t="str">
        <v>https://www.apple.com/kr/shop/product/mw2q3kh/a</v>
      </c>
      <c r="J82" t="str">
        <v>CU 칸에서 젠더(L52)로 Pi 5 USB-A 포트에 바로 꽂는 USB 사운드 장치(DAC + 헤드폰 앰프)다. FluidSynth 소리를 아날로그로 바꿔 선 ①(C14)로 왼쪽 볼 헤드폰 잭에 보낸다. 헤드폰을 안 꽂으면 노멀 접점을 거쳐 앰프로 간다.</v>
      </c>
    </row>
    <row r="83">
      <c r="A83" t="str">
        <v>Apple Store 온라인</v>
      </c>
      <c r="B83" t="str">
        <v>배송비</v>
      </c>
      <c r="C83" t="str">
        <v>배송비</v>
      </c>
      <c r="D83" t="str">
        <v/>
      </c>
      <c r="E83">
        <v>1</v>
      </c>
      <c r="F83" s="1">
        <v>0</v>
      </c>
      <c r="G83" s="1">
        <f>E83*F83</f>
        <v>0</v>
      </c>
      <c r="H83" t="str">
        <v>배송비</v>
      </c>
      <c r="I83" t="str">
        <v/>
      </c>
      <c r="J83" t="str">
        <v/>
      </c>
    </row>
    <row r="84">
      <c r="A84" t="str">
        <v/>
      </c>
      <c r="B84" t="str">
        <v/>
      </c>
      <c r="C84" t="str">
        <v>Apple Store 온라인 소계</v>
      </c>
      <c r="D84" t="str">
        <v/>
      </c>
      <c r="E84" t="str">
        <v/>
      </c>
      <c r="F84" t="str">
        <v/>
      </c>
      <c r="G84" s="1">
        <f>SUM(G82:G83)</f>
        <v>14900</v>
      </c>
    </row>
    <row r="86">
      <c r="A86" t="str">
        <v>알씨뱅크</v>
      </c>
      <c r="B86" t="str">
        <v>센서·MCU·기판</v>
      </c>
      <c r="C86" t="str">
        <v>JST-XH 6핀 연장선 200 mm (5S)</v>
      </c>
      <c r="D86" t="str">
        <v>리튬폴리머 배터리 밸런스잭 연장선 5셀용 (JST-XH 6핀 수↔암, BU-LP 5S, 200mm)</v>
      </c>
      <c r="E86">
        <v>2</v>
      </c>
      <c r="F86" s="1">
        <v>3000</v>
      </c>
      <c r="G86" s="1">
        <f>E86*F86</f>
        <v>6000</v>
      </c>
      <c r="H86" t="str">
        <v>기본</v>
      </c>
      <c r="I86" t="str">
        <v>https://www.rcbank.co.kr/shop/goods/goods_view.php?goodsno=29812</v>
      </c>
      <c r="J86" t="str">
        <v>끝 부속 센서 선과 O1·O7 제어 기판을 잇는 6핀 커넥터 2쌍이다(왼쪽 EL ↔ O1, 오른쪽 ER ↔ O7). 200 mm 선을 모듈 쪽 150 mm · 끝 부속 쪽 50 mm로 자른다. 150 mm 쪽은 O1·O7 제어 기판 J302 패드(아랫면)에, 50 mm 쪽은 끝 부속 리본 리드에 납땜하고, 두 쪽을 모듈 뒤 통로에서 꽂는다.</v>
      </c>
    </row>
    <row r="87">
      <c r="A87" t="str">
        <v>알씨뱅크</v>
      </c>
      <c r="B87" t="str">
        <v>본체·결합</v>
      </c>
      <c r="C87" t="str">
        <v>M3 방진 댐퍼(그로밋) 20개</v>
      </c>
      <c r="D87" t="str">
        <v>알씨뱅크 M3 진동 방지 댐퍼 (20개)</v>
      </c>
      <c r="E87">
        <v>1</v>
      </c>
      <c r="F87" s="1">
        <v>4500</v>
      </c>
      <c r="G87" s="1">
        <f>E87*F87</f>
        <v>4500</v>
      </c>
      <c r="H87" t="str">
        <v>기본</v>
      </c>
      <c r="I87" t="str">
        <v>https://www.rcbank.co.kr/shop/goods/goods_view.php?goodsno=67110</v>
      </c>
      <c r="J87" t="str">
        <v>왼쪽·오른쪽 끝 부속과 스피커 파트를 잇는 짧은 PETG 방진 브래킷(40 × 17 × 6)에 2개씩 = 4개. 위치만 잡아 주고, 스피커 무게는 고무발이 받는다.</v>
      </c>
    </row>
    <row r="88">
      <c r="A88" t="str">
        <v>알씨뱅크</v>
      </c>
      <c r="B88" t="str">
        <v>배송비</v>
      </c>
      <c r="C88" t="str">
        <v>배송비</v>
      </c>
      <c r="D88" t="str">
        <v/>
      </c>
      <c r="E88">
        <v>1</v>
      </c>
      <c r="F88" s="1">
        <v>3500</v>
      </c>
      <c r="G88" s="1">
        <f>E88*F88</f>
        <v>3500</v>
      </c>
      <c r="H88" t="str">
        <v>배송비</v>
      </c>
      <c r="I88" t="str">
        <v/>
      </c>
      <c r="J88" t="str">
        <v>50,000원 이상 무료</v>
      </c>
    </row>
    <row r="89">
      <c r="A89" t="str">
        <v/>
      </c>
      <c r="B89" t="str">
        <v/>
      </c>
      <c r="C89" t="str">
        <v>알씨뱅크 소계</v>
      </c>
      <c r="D89" t="str">
        <v/>
      </c>
      <c r="E89" t="str">
        <v/>
      </c>
      <c r="F89" t="str">
        <v/>
      </c>
      <c r="G89" s="1">
        <f>SUM(G86:G88)</f>
        <v>14000</v>
      </c>
    </row>
    <row r="91">
      <c r="A91" t="str">
        <v>대건상사</v>
      </c>
      <c r="B91" t="str">
        <v>센서·MCU·기판</v>
      </c>
      <c r="C91" t="str">
        <v>네오디뮴 자석 Ø5×2 N35</v>
      </c>
      <c r="D91" t="str">
        <v>초강력 네오디움 원형자석 5mm (Ø5×2.0T, N35)</v>
      </c>
      <c r="E91">
        <v>89</v>
      </c>
      <c r="F91" s="1">
        <v>80</v>
      </c>
      <c r="G91" s="1">
        <f>E91*F91</f>
        <v>7120</v>
      </c>
      <c r="H91" t="str">
        <v>기본</v>
      </c>
      <c r="I91" t="str">
        <v>https://dgmagnet.com/product/%EC%B4%88%EA%B0%95%EB%A0%A5-%EB%84%A4%EC%98%A4%EB%94%94%EC%9B%80-%EC%9B%90%ED%98%95%EC%9E%90%EC%84%9D-5mm/13/</v>
      </c>
      <c r="J91" t="str">
        <v>건반 밑면 포켓(y67)에 S극이 아래로 가게 눌러 넣고 순간접착제 한 방울로 고정한다. 바로 아래 센서 바의 홀센서가 이 자석까지의 거리를 읽는다. 페달용 1개는 페달 발판 밑면 발끝 쪽에 S극이 아래로 가게 붙인다. 건반 88 + 페달 1 = 89개를 쓴다.</v>
      </c>
    </row>
    <row r="92">
      <c r="A92" t="str">
        <v>대건상사</v>
      </c>
      <c r="B92" t="str">
        <v>본체·결합</v>
      </c>
      <c r="C92" t="str">
        <v>네오디뮴 자석 Ø8×3 N35 (뚜껑)</v>
      </c>
      <c r="D92" t="str">
        <v>초강력 네오디움 원형자석 8mm — 3.0T (Ø8×3mm, N35)</v>
      </c>
      <c r="E92">
        <v>12</v>
      </c>
      <c r="F92" s="1">
        <v>160</v>
      </c>
      <c r="G92" s="1">
        <f>E92*F92</f>
        <v>1920</v>
      </c>
      <c r="H92" t="str">
        <v>기본</v>
      </c>
      <c r="I92" t="str">
        <v>https://dgmagnet.com/product/detail.html?product_no=17</v>
      </c>
      <c r="J92" t="str">
        <v>가운데 유닛 뚜껑 3장이 미끄러지지 않게 붙여 둔다. 뚜껑마다 대각선 두 구석에 뚜껑 쪽·받침 쪽 한 쌍 = 12개를 Ø8.2 포켓에 순간접착제로 붙인다.</v>
      </c>
    </row>
    <row r="93">
      <c r="A93" t="str">
        <v>대건상사</v>
      </c>
      <c r="B93" t="str">
        <v>배송비</v>
      </c>
      <c r="C93" t="str">
        <v>배송비</v>
      </c>
      <c r="D93" t="str">
        <v/>
      </c>
      <c r="E93">
        <v>1</v>
      </c>
      <c r="F93" s="1">
        <v>2500</v>
      </c>
      <c r="G93" s="1">
        <f>E93*F93</f>
        <v>2500</v>
      </c>
      <c r="H93" t="str">
        <v>배송비</v>
      </c>
      <c r="I93" t="str">
        <v/>
      </c>
      <c r="J93" t="str">
        <v>50,000원 이상 무료</v>
      </c>
    </row>
    <row r="94">
      <c r="A94" t="str">
        <v/>
      </c>
      <c r="B94" t="str">
        <v/>
      </c>
      <c r="C94" t="str">
        <v>대건상사 소계</v>
      </c>
      <c r="D94" t="str">
        <v/>
      </c>
      <c r="E94" t="str">
        <v/>
      </c>
      <c r="F94" t="str">
        <v/>
      </c>
      <c r="G94" s="1">
        <f>SUM(G91:G93)</f>
        <v>11540</v>
      </c>
    </row>
    <row r="96">
      <c r="A96" t="str">
        <v>11번가 · 상우아트</v>
      </c>
      <c r="B96" t="str">
        <v>본체·결합</v>
      </c>
      <c r="C96" t="str">
        <v>EVA 고밀도 폼 3T 330×490 검정</v>
      </c>
      <c r="D96" t="str">
        <v>에바폼 EVA 컬러 고밀도 칼라스펀지 3T (E-210 검정, 330×490)</v>
      </c>
      <c r="E96">
        <v>3</v>
      </c>
      <c r="F96" s="1">
        <v>2100</v>
      </c>
      <c r="G96" s="1">
        <f>E96*F96</f>
        <v>6300</v>
      </c>
      <c r="H96" t="str">
        <v>기본</v>
      </c>
      <c r="I96" t="str">
        <v>https://www.11st.co.kr/products/7591566666</v>
      </c>
      <c r="J96" t="str">
        <v>건반 모듈 7개와 끝 부속 2개 밑면 전체에 한 장씩 붙이는 3 mm 바닥 층이다(모듈 조각 163.5 × 211, 끝 부속 63 × 211·39.5 × 211). 남는 조각으로 스피커 유닛 가스켓 2개와 가운데 유닛 ↔ 스피커 파트 맞닿는 면의 띠를 만든다.</v>
      </c>
    </row>
    <row r="97">
      <c r="A97" t="str">
        <v>11번가 · 상우아트</v>
      </c>
      <c r="B97" t="str">
        <v>건반 액션</v>
      </c>
      <c r="C97" t="str">
        <v>대원 0.5T 접착 펠트지 30×45 (H-20 검정)</v>
      </c>
      <c r="D97" t="str">
        <v>[대원] 얇은 칼라펠트지 H 두께0.5mm 접착 30x45cm (H-20 검정)</v>
      </c>
      <c r="E97">
        <v>1</v>
      </c>
      <c r="F97" s="1">
        <v>1500</v>
      </c>
      <c r="G97" s="1">
        <f>E97*F97</f>
        <v>1500</v>
      </c>
      <c r="H97" t="str">
        <v>기본</v>
      </c>
      <c r="I97" t="str">
        <v>https://www.11st.co.kr/products/8517880969</v>
      </c>
      <c r="J97" t="str">
        <v>건반 104개(88 + 예비 16)의 스냅 노치 안쪽과 밸런스 핀 홈 양쪽 벽에 붙인다. 프레임 가이드 탭 88개의 양옆에도 붙이는 0.5T 부싱 천이다. 1.5T 쉼 펠트도 메리노 1T 위에 이 천을 한 겹 붙여 만든다. 한 장(1,350 cm²) 가운데 약 270 cm²만 쓴다(추정).</v>
      </c>
    </row>
    <row r="98">
      <c r="A98" t="str">
        <v>11번가 · 상우아트</v>
      </c>
      <c r="B98" t="str">
        <v>배송비</v>
      </c>
      <c r="C98" t="str">
        <v>배송비</v>
      </c>
      <c r="D98" t="str">
        <v/>
      </c>
      <c r="E98">
        <v>1</v>
      </c>
      <c r="F98" s="1">
        <v>3000</v>
      </c>
      <c r="G98" s="1">
        <f>E98*F98</f>
        <v>3000</v>
      </c>
      <c r="H98" t="str">
        <v>배송비</v>
      </c>
      <c r="I98" t="str">
        <v/>
      </c>
      <c r="J98" t="str">
        <v>70,000원 이상 무료</v>
      </c>
    </row>
    <row r="99">
      <c r="A99" t="str">
        <v/>
      </c>
      <c r="B99" t="str">
        <v/>
      </c>
      <c r="C99" t="str">
        <v>11번가 · 상우아트 소계</v>
      </c>
      <c r="D99" t="str">
        <v/>
      </c>
      <c r="E99" t="str">
        <v/>
      </c>
      <c r="F99" t="str">
        <v/>
      </c>
      <c r="G99" s="1">
        <f>SUM(G96:G98)</f>
        <v>10800</v>
      </c>
    </row>
    <row r="101">
      <c r="A101" t="str">
        <v>11번가 · 굿나잇몰</v>
      </c>
      <c r="B101" t="str">
        <v>본체·결합</v>
      </c>
      <c r="C101" t="str">
        <v>스텐 렌치볼트 M2.5 × 6 (Pi 고정)</v>
      </c>
      <c r="D101" t="str">
        <v>스텐 유두 렌치볼트 M2.5 × 6mm</v>
      </c>
      <c r="E101">
        <v>4</v>
      </c>
      <c r="F101" s="1">
        <v>200</v>
      </c>
      <c r="G101" s="1">
        <f>E101*F101</f>
        <v>800</v>
      </c>
      <c r="H101" t="str">
        <v>기본</v>
      </c>
      <c r="I101" t="str">
        <v>https://www.11st.co.kr/products/4236198413</v>
      </c>
      <c r="J101" t="str">
        <v>가운데 유닛 CU 칸의 출력 CU 트레이 보스 4개에 Raspberry Pi 5를 바로 조인다. 4개 사용.</v>
      </c>
    </row>
    <row r="102">
      <c r="A102" t="str">
        <v>11번가 · 굿나잇몰</v>
      </c>
      <c r="B102" t="str">
        <v>본체·결합</v>
      </c>
      <c r="C102" t="str">
        <v>스텐 직결피스 8호 13 mm (뒷바)</v>
      </c>
      <c r="D102" t="str">
        <v>스텐 둥근머리 직결피스 8호(Ø4.2) 13mm</v>
      </c>
      <c r="E102">
        <v>36</v>
      </c>
      <c r="F102" s="1">
        <v>40</v>
      </c>
      <c r="G102" s="1">
        <f>E102*F102</f>
        <v>1440</v>
      </c>
      <c r="H102" t="str">
        <v>기본</v>
      </c>
      <c r="I102" t="str">
        <v>https://www.11st.co.kr/products/4353471537</v>
      </c>
      <c r="J102" t="str">
        <v>뒷바 합판 면에 출력 부품을 고정한다. 도브테일 블록 4개 × 4, CU 트레이 4, I/O 판 4, 보조배터리 받침 4, 콤 받침(보관함) 4, XT30 받침 4 = 36개 사용.</v>
      </c>
    </row>
    <row r="103">
      <c r="A103" t="str">
        <v>11번가 · 굿나잇몰</v>
      </c>
      <c r="B103" t="str">
        <v>본체·결합</v>
      </c>
      <c r="C103" t="str">
        <v>스텐 직결피스 8호 16 mm (스피커 유닛)</v>
      </c>
      <c r="D103" t="str">
        <v>스텐 둥근머리 직결피스 8호(Ø4.2) 16mm</v>
      </c>
      <c r="E103">
        <v>8</v>
      </c>
      <c r="F103" s="1">
        <v>50</v>
      </c>
      <c r="G103" s="1">
        <f>E103*F103</f>
        <v>400</v>
      </c>
      <c r="H103" t="str">
        <v>기본</v>
      </c>
      <c r="I103" t="str">
        <v>https://www.11st.co.kr/products/4353471537</v>
      </c>
      <c r="J103" t="str">
        <v>스피커 유닛 CW-100B25를 PETG 출력 앞판(배플)에 고정한다. 유닛마다 4개 × 2 = 8개.</v>
      </c>
    </row>
    <row r="104">
      <c r="A104" t="str">
        <v>11번가 · 굿나잇몰</v>
      </c>
      <c r="B104" t="str">
        <v>본체·결합</v>
      </c>
      <c r="C104" t="str">
        <v>스텐 직결피스 8호 19 mm (그릴)</v>
      </c>
      <c r="D104" t="str">
        <v>스텐 둥근머리 직결피스 8호(Ø4.2) 19mm</v>
      </c>
      <c r="E104">
        <v>8</v>
      </c>
      <c r="F104" s="1">
        <v>50</v>
      </c>
      <c r="G104" s="1">
        <f>E104*F104</f>
        <v>400</v>
      </c>
      <c r="H104" t="str">
        <v>기본</v>
      </c>
      <c r="I104" t="str">
        <v>https://www.11st.co.kr/products/4353471537</v>
      </c>
      <c r="J104" t="str">
        <v>PETG 육각 그릴을 스페이서 링(10 mm)에 통과시켜 스피커 앞판에 고정한다. 그릴마다 4곳 × 2 = 8개.</v>
      </c>
    </row>
    <row r="105">
      <c r="A105" t="str">
        <v>11번가 · 굿나잇몰</v>
      </c>
      <c r="B105" t="str">
        <v>본체·결합</v>
      </c>
      <c r="C105" t="str">
        <v>스텐 직결피스 8호 25 mm (고무발)</v>
      </c>
      <c r="D105" t="str">
        <v>스텐 둥근머리 직결피스 8호(Ø4.2) 25mm</v>
      </c>
      <c r="E105">
        <v>14</v>
      </c>
      <c r="F105" s="1">
        <v>60</v>
      </c>
      <c r="G105" s="1">
        <f>E105*F105</f>
        <v>840</v>
      </c>
      <c r="H105" t="str">
        <v>기본</v>
      </c>
      <c r="I105" t="str">
        <v>https://www.11st.co.kr/products/4353471537</v>
      </c>
      <c r="J105" t="str">
        <v>고무발 14개(스피커 파트 4 × 2 + 가운데 유닛 6)를 출력 받침 4 mm와 함께 합판 바닥에 고정한다. 머리 밑에 M4 와셔를 끼운다. 14개 사용.</v>
      </c>
    </row>
    <row r="106">
      <c r="A106" t="str">
        <v>11번가 · 굿나잇몰</v>
      </c>
      <c r="B106" t="str">
        <v>본체·결합</v>
      </c>
      <c r="C106" t="str">
        <v>스텐 렌치볼트 M3 × 10 (센서 바·CU)</v>
      </c>
      <c r="D106" t="str">
        <v>스텐 유두 렌치볼트 M3 × 10mm</v>
      </c>
      <c r="E106">
        <v>36</v>
      </c>
      <c r="F106" s="1">
        <v>60</v>
      </c>
      <c r="G106" s="1">
        <f>E106*F106</f>
        <v>2160</v>
      </c>
      <c r="H106" t="str">
        <v>기본</v>
      </c>
      <c r="I106" t="str">
        <v>https://www.11st.co.kr/products/4236198413</v>
      </c>
      <c r="J106" t="str">
        <v>센서 바·센서 기판을 왼쪽 받침 기둥에 고정한다: 모듈 7개 × 2 + 끝 부속 2개 × 2 = 18개. CU 트레이의 앰프 4·강압 모듈 4·앰프 입력 잭 기판 2 = 10개, 토글 래치 2개 × 4 = 8개. 합계 36개. 구매 목록 글은 PD 트리거 2·퓨즈 홀더 2를 더해 40개로 셌다.</v>
      </c>
    </row>
    <row r="107">
      <c r="A107" t="str">
        <v>11번가 · 굿나잇몰</v>
      </c>
      <c r="B107" t="str">
        <v>본체·결합</v>
      </c>
      <c r="C107" t="str">
        <v>스텐 렌치볼트 M3 × 6 (제어 기판)</v>
      </c>
      <c r="D107" t="str">
        <v>스텐 유두 렌치볼트 M3 × 6mm</v>
      </c>
      <c r="E107">
        <v>16</v>
      </c>
      <c r="F107" s="1">
        <v>40</v>
      </c>
      <c r="G107" s="1">
        <f>E107*F107</f>
        <v>640</v>
      </c>
      <c r="H107" t="str">
        <v>기본</v>
      </c>
      <c r="I107" t="str">
        <v>https://www.11st.co.kr/products/4236198413</v>
      </c>
      <c r="J107" t="str">
        <v>모듈마다 제어 기판(RP2040-Zero·먹스)을 프레임의 매단 보스에 밑에서 2개로 조인다: 7 × 2 = 14개. 나머지 두 구석은 보스의 위치 핀이 잡는다. v3.2 기준으로 CU 트레이의 페달 보드(PED)도 같은 방식으로 2개를 쓴다.</v>
      </c>
    </row>
    <row r="108">
      <c r="A108" t="str">
        <v>11번가 · 굿나잇몰</v>
      </c>
      <c r="B108" t="str">
        <v>본체·결합</v>
      </c>
      <c r="C108" t="str">
        <v>스텐 평와셔 M4 (외경 9 × 0.5T)</v>
      </c>
      <c r="D108" t="str">
        <v>스텐 와셔 M4x9x0.5T</v>
      </c>
      <c r="E108">
        <v>14</v>
      </c>
      <c r="F108" s="1">
        <v>10</v>
      </c>
      <c r="G108" s="1">
        <f>E108*F108</f>
        <v>140</v>
      </c>
      <c r="H108" t="str">
        <v>기본</v>
      </c>
      <c r="I108" t="str">
        <v>https://www.11st.co.kr/products/4236198413</v>
      </c>
      <c r="J108" t="str">
        <v>고무발 14개를 고정하는 25 mm 직결피스 머리 밑에 1개씩 끼운다. 14개 사용.</v>
      </c>
    </row>
    <row r="109">
      <c r="A109" t="str">
        <v>11번가 · 굿나잇몰</v>
      </c>
      <c r="B109" t="str">
        <v>배송비</v>
      </c>
      <c r="C109" t="str">
        <v>배송비</v>
      </c>
      <c r="D109" t="str">
        <v/>
      </c>
      <c r="E109">
        <v>1</v>
      </c>
      <c r="F109" s="1">
        <v>3500</v>
      </c>
      <c r="G109" s="1">
        <f>E109*F109</f>
        <v>3500</v>
      </c>
      <c r="H109" t="str">
        <v>배송비</v>
      </c>
      <c r="I109" t="str">
        <v/>
      </c>
      <c r="J109" t="str">
        <v/>
      </c>
    </row>
    <row r="110">
      <c r="A110" t="str">
        <v/>
      </c>
      <c r="B110" t="str">
        <v/>
      </c>
      <c r="C110" t="str">
        <v>11번가 · 굿나잇몰 소계</v>
      </c>
      <c r="D110" t="str">
        <v/>
      </c>
      <c r="E110" t="str">
        <v/>
      </c>
      <c r="F110" t="str">
        <v/>
      </c>
      <c r="G110" s="1">
        <f>SUM(G101:G109)</f>
        <v>10320</v>
      </c>
    </row>
    <row r="112">
      <c r="A112" t="str">
        <v>11번가 · onezaze</v>
      </c>
      <c r="B112" t="str">
        <v>건반 액션</v>
      </c>
      <c r="C112" t="str">
        <v>SUS304 환봉 Ø4×1 m — 건반 봉</v>
      </c>
      <c r="D112" t="str">
        <v>[onezaze] 스텐환봉 절단판매 1M (4mm)</v>
      </c>
      <c r="E112">
        <v>2</v>
      </c>
      <c r="F112" s="1">
        <v>1500</v>
      </c>
      <c r="G112" s="1">
        <f>E112*F112</f>
        <v>3000</v>
      </c>
      <c r="H112" t="str">
        <v>기본</v>
      </c>
      <c r="I112" t="str">
        <v>https://www.11st.co.kr/products/1304631510</v>
      </c>
      <c r="J112" t="str">
        <v>건반 시소의 축이다. 밸런스 레일의 봉 받침 11곳(y141, z21.5)에 놓고, 건반 노치가 위에서 스냅으로 문다. 모듈마다 161.4 mm 1토막 × 7 + 끝 부속 2토막(약 45·21) = 9토막을 쓰고, 1토막은 예비로 보관함에 둔다.</v>
      </c>
    </row>
    <row r="113">
      <c r="A113" t="str">
        <v>11번가 · onezaze</v>
      </c>
      <c r="B113" t="str">
        <v>건반 액션</v>
      </c>
      <c r="C113" t="str">
        <v>SUS304 환봉 Ø4×1 m — 레버 봉</v>
      </c>
      <c r="D113" t="str">
        <v>[onezaze] 스텐환봉 절단판매 1M (4mm)</v>
      </c>
      <c r="E113">
        <v>2</v>
      </c>
      <c r="F113" s="1">
        <v>1500</v>
      </c>
      <c r="G113" s="1">
        <f>E113*F113</f>
        <v>3000</v>
      </c>
      <c r="H113" t="str">
        <v>기본</v>
      </c>
      <c r="I113" t="str">
        <v>https://www.11st.co.kr/products/1304631510</v>
      </c>
      <c r="J113" t="str">
        <v>무게 레버 12개가 매달려 도는 축이다(모듈 뒤쪽 y203.25, z33.5). 핀 보스 5개, 레버 허브 12개, 스프링 코일 12개를 꿰고, 이음 쪽 끝을 출력 마개로 막는다(반대쪽은 막힌 벽). 모듈마다 161.4 mm × 7 + 끝 부속 2토막(45.9·22.2) = 9토막을 쓰고, 1토막은 예비로 보관함에 둔다.</v>
      </c>
    </row>
    <row r="114">
      <c r="A114" t="str">
        <v>11번가 · onezaze</v>
      </c>
      <c r="B114" t="str">
        <v>배송비</v>
      </c>
      <c r="C114" t="str">
        <v>배송비</v>
      </c>
      <c r="D114" t="str">
        <v/>
      </c>
      <c r="E114">
        <v>1</v>
      </c>
      <c r="F114" s="1">
        <v>3500</v>
      </c>
      <c r="G114" s="1">
        <f>E114*F114</f>
        <v>3500</v>
      </c>
      <c r="H114" t="str">
        <v>배송비</v>
      </c>
      <c r="I114" t="str">
        <v/>
      </c>
      <c r="J114" t="str">
        <v/>
      </c>
    </row>
    <row r="115">
      <c r="A115" t="str">
        <v/>
      </c>
      <c r="B115" t="str">
        <v/>
      </c>
      <c r="C115" t="str">
        <v>11번가 · onezaze 소계</v>
      </c>
      <c r="D115" t="str">
        <v/>
      </c>
      <c r="E115" t="str">
        <v/>
      </c>
      <c r="F115" t="str">
        <v/>
      </c>
      <c r="G115" s="1">
        <f>SUM(G112:G114)</f>
        <v>9500</v>
      </c>
    </row>
    <row r="117">
      <c r="A117" t="str">
        <v>11번가</v>
      </c>
      <c r="B117" t="str">
        <v>건반 액션</v>
      </c>
      <c r="C117" t="str">
        <v>텅스텐 퍼티 22 g (낚시 싱커)</v>
      </c>
      <c r="D117" t="str">
        <v>텅스텐 퍼티 소프트 싱커 무게추 (낚시용, 22 g)</v>
      </c>
      <c r="E117">
        <v>1</v>
      </c>
      <c r="F117" s="1">
        <v>8750</v>
      </c>
      <c r="G117" s="1">
        <f>E117*F117</f>
        <v>8750</v>
      </c>
      <c r="H117" t="str">
        <v>소모품</v>
      </c>
      <c r="I117" t="str">
        <v>https://www.11st.co.kr/products/9579455646</v>
      </c>
      <c r="J117" t="str">
        <v>조립 뒤 누르는 힘(DW)이 47~55 g을 벗어난 건반만 맞춘다. 가림판을 들고 레버 강철 앞 윗면(패드 앞)에 붙이면 DW가 오른다(1 g = 백 +1.23 / 흑 +1.14 g). 건반 앞에 붙이면 내려간다(1 g = −1.06 / −1.09 g).</v>
      </c>
    </row>
    <row r="118">
      <c r="A118" t="str">
        <v>11번가</v>
      </c>
      <c r="B118" t="str">
        <v>배송비</v>
      </c>
      <c r="C118" t="str">
        <v>배송비</v>
      </c>
      <c r="D118" t="str">
        <v/>
      </c>
      <c r="E118">
        <v>1</v>
      </c>
      <c r="F118" s="1">
        <v>0</v>
      </c>
      <c r="G118" s="1">
        <f>E118*F118</f>
        <v>0</v>
      </c>
      <c r="H118" t="str">
        <v>배송비</v>
      </c>
      <c r="I118" t="str">
        <v/>
      </c>
      <c r="J118" t="str">
        <v/>
      </c>
    </row>
    <row r="119">
      <c r="A119" t="str">
        <v/>
      </c>
      <c r="B119" t="str">
        <v/>
      </c>
      <c r="C119" t="str">
        <v>11번가 소계</v>
      </c>
      <c r="D119" t="str">
        <v/>
      </c>
      <c r="E119" t="str">
        <v/>
      </c>
      <c r="F119" t="str">
        <v/>
      </c>
      <c r="G119" s="1">
        <f>SUM(G117:G118)</f>
        <v>8750</v>
      </c>
    </row>
    <row r="121">
      <c r="A121" t="str">
        <v>철물박사</v>
      </c>
      <c r="B121" t="str">
        <v>본체·결합</v>
      </c>
      <c r="C121" t="str">
        <v>매미고리 1-20 SUS 토글 래치</v>
      </c>
      <c r="D121" t="str">
        <v>매미고리 1-20 (SUS304 스테인리스 토글 래치, 25×54mm)</v>
      </c>
      <c r="E121">
        <v>2</v>
      </c>
      <c r="F121" s="1">
        <v>2400</v>
      </c>
      <c r="G121" s="1">
        <f>E121*F121</f>
        <v>4800</v>
      </c>
      <c r="H121" t="str">
        <v>기본</v>
      </c>
      <c r="I121" t="str">
        <v>https://www.metaldiy.com/item/itemView.do?itemId=8806379117286</v>
      </c>
      <c r="J121" t="str">
        <v>가운데 유닛과 왼쪽·오른쪽 스피커 파트의 이음 뒷면에 1개씩 = 2개. 도브테일이 위치를 잡고 래치가 당겨 잠근다. 도브테일 블록의 출력 받침에 M3 × 10 4개로 고정한다.</v>
      </c>
    </row>
    <row r="122">
      <c r="A122" t="str">
        <v>철물박사</v>
      </c>
      <c r="B122" t="str">
        <v>배송비</v>
      </c>
      <c r="C122" t="str">
        <v>배송비</v>
      </c>
      <c r="D122" t="str">
        <v/>
      </c>
      <c r="E122">
        <v>1</v>
      </c>
      <c r="F122" s="1">
        <v>3000</v>
      </c>
      <c r="G122" s="1">
        <f>E122*F122</f>
        <v>3000</v>
      </c>
      <c r="H122" t="str">
        <v>배송비</v>
      </c>
      <c r="I122" t="str">
        <v/>
      </c>
      <c r="J122" t="str">
        <v>100,000원 이상 무료</v>
      </c>
    </row>
    <row r="123">
      <c r="A123" t="str">
        <v/>
      </c>
      <c r="B123" t="str">
        <v/>
      </c>
      <c r="C123" t="str">
        <v>철물박사 소계</v>
      </c>
      <c r="D123" t="str">
        <v/>
      </c>
      <c r="E123" t="str">
        <v/>
      </c>
      <c r="F123" t="str">
        <v/>
      </c>
      <c r="G123" s="1">
        <f>SUM(G121:G122)</f>
        <v>7800</v>
      </c>
    </row>
    <row r="125">
      <c r="A125" t="str">
        <v>메카솔루션</v>
      </c>
      <c r="B125" t="str">
        <v>센서·MCU·기판</v>
      </c>
      <c r="C125" t="str">
        <v>만능기판 5×7 cm (제어 기판용)</v>
      </c>
      <c r="D125" t="str">
        <v>PCB기판/양면기판/에폭시/프로토보드 (5x7cm)</v>
      </c>
      <c r="E125">
        <v>8</v>
      </c>
      <c r="F125" s="1">
        <v>520</v>
      </c>
      <c r="G125" s="1">
        <f>E125*F125</f>
        <v>4160</v>
      </c>
      <c r="H125" t="str">
        <v>기본</v>
      </c>
      <c r="I125" t="str">
        <v>https://www.mechasolution.com/goods/goods_view.php?goodsNo=329798</v>
      </c>
      <c r="J125" t="str">
        <v>O1~O7 모듈 제어 기판 7장(모듈 뒤쪽 바닥 구멍으로 밑에서 넣음) + CU 칸 안 페달 보드(PB) 1장 = 8장. RP2040-Zero, 먹스, 리본 블록, EXT 패드가 여기에 납땜된다.</v>
      </c>
    </row>
    <row r="126">
      <c r="A126" t="str">
        <v>메카솔루션</v>
      </c>
      <c r="B126" t="str">
        <v>배송비</v>
      </c>
      <c r="C126" t="str">
        <v>배송비</v>
      </c>
      <c r="D126" t="str">
        <v/>
      </c>
      <c r="E126">
        <v>1</v>
      </c>
      <c r="F126" s="1">
        <v>3000</v>
      </c>
      <c r="G126" s="1">
        <f>E126*F126</f>
        <v>3000</v>
      </c>
      <c r="H126" t="str">
        <v>배송비</v>
      </c>
      <c r="I126" t="str">
        <v/>
      </c>
      <c r="J126" t="str">
        <v/>
      </c>
    </row>
    <row r="127">
      <c r="A127" t="str">
        <v/>
      </c>
      <c r="B127" t="str">
        <v/>
      </c>
      <c r="C127" t="str">
        <v>메카솔루션 소계</v>
      </c>
      <c r="D127" t="str">
        <v/>
      </c>
      <c r="E127" t="str">
        <v/>
      </c>
      <c r="F127" t="str">
        <v/>
      </c>
      <c r="G127" s="1">
        <f>SUM(G125:G126)</f>
        <v>7160</v>
      </c>
    </row>
    <row r="129">
      <c r="A129" t="str">
        <v>11번가 · 비젼몰</v>
      </c>
      <c r="B129" t="str">
        <v>건반 액션</v>
      </c>
      <c r="C129" t="str">
        <v>크레타칼라 흑연 가루 30 ml</v>
      </c>
      <c r="D129" t="str">
        <v>크레타칼라 흑연파우더(소/30ml)</v>
      </c>
      <c r="E129">
        <v>1</v>
      </c>
      <c r="F129" s="1">
        <v>2750</v>
      </c>
      <c r="G129" s="1">
        <f>E129*F129</f>
        <v>2750</v>
      </c>
      <c r="H129" t="str">
        <v>소모품</v>
      </c>
      <c r="I129" t="str">
        <v>https://www.11st.co.kr/products/1333385437</v>
      </c>
      <c r="J129" t="str">
        <v>레버 캐리어 88개 밑의 캡스턴 펠트 띠 2T(S14)에서 캡스턴 머리가 닿는 면에 바른다. 붓으로 얇게 바르고 털어 낸다(조립 4단계). 단계 0 시편의 봉 구멍에도 조금 넣는다.</v>
      </c>
    </row>
    <row r="130">
      <c r="A130" t="str">
        <v>11번가 · 비젼몰</v>
      </c>
      <c r="B130" t="str">
        <v>배송비</v>
      </c>
      <c r="C130" t="str">
        <v>배송비</v>
      </c>
      <c r="D130" t="str">
        <v/>
      </c>
      <c r="E130">
        <v>1</v>
      </c>
      <c r="F130" s="1">
        <v>3000</v>
      </c>
      <c r="G130" s="1">
        <f>E130*F130</f>
        <v>3000</v>
      </c>
      <c r="H130" t="str">
        <v>배송비</v>
      </c>
      <c r="I130" t="str">
        <v/>
      </c>
      <c r="J130" t="str">
        <v>80,000원 이상 무료</v>
      </c>
    </row>
    <row r="131">
      <c r="A131" t="str">
        <v/>
      </c>
      <c r="B131" t="str">
        <v/>
      </c>
      <c r="C131" t="str">
        <v>11번가 · 비젼몰 소계</v>
      </c>
      <c r="D131" t="str">
        <v/>
      </c>
      <c r="E131" t="str">
        <v/>
      </c>
      <c r="F131" t="str">
        <v/>
      </c>
      <c r="G131" s="1">
        <f>SUM(G129:G130)</f>
        <v>5750</v>
      </c>
    </row>
    <row r="133">
      <c r="A133" t="str">
        <v>11번가 · 두유레디</v>
      </c>
      <c r="B133" t="str">
        <v>오디오</v>
      </c>
      <c r="C133" t="str">
        <v>흡음솜 300 g (할로우화이버)</v>
      </c>
      <c r="D133" t="str">
        <v>두유레디 구름솜 300g (100% 국내산 할로우화이버)</v>
      </c>
      <c r="E133">
        <v>1</v>
      </c>
      <c r="F133" s="1">
        <v>2700</v>
      </c>
      <c r="G133" s="1">
        <f>E133*F133</f>
        <v>2700</v>
      </c>
      <c r="H133" t="str">
        <v>기본</v>
      </c>
      <c r="I133" t="str">
        <v>https://www.11st.co.kr/products/2325598213</v>
      </c>
      <c r="J133" t="str">
        <v>좌우 스피커 상자(밀폐, 내부 5.05 L) 안의 흡음재다. 상자당 40~60 g을 뒤판·옆판 쪽에 느슨하게 넣는다.</v>
      </c>
    </row>
    <row r="134">
      <c r="A134" t="str">
        <v>11번가 · 두유레디</v>
      </c>
      <c r="B134" t="str">
        <v>배송비</v>
      </c>
      <c r="C134" t="str">
        <v>배송비</v>
      </c>
      <c r="D134" t="str">
        <v/>
      </c>
      <c r="E134">
        <v>1</v>
      </c>
      <c r="F134" s="1">
        <v>3000</v>
      </c>
      <c r="G134" s="1">
        <f>E134*F134</f>
        <v>3000</v>
      </c>
      <c r="H134" t="str">
        <v>배송비</v>
      </c>
      <c r="I134" t="str">
        <v/>
      </c>
      <c r="J134" t="str">
        <v/>
      </c>
    </row>
    <row r="135">
      <c r="A135" t="str">
        <v/>
      </c>
      <c r="B135" t="str">
        <v/>
      </c>
      <c r="C135" t="str">
        <v>11번가 · 두유레디 소계</v>
      </c>
      <c r="D135" t="str">
        <v/>
      </c>
      <c r="E135" t="str">
        <v/>
      </c>
      <c r="F135" t="str">
        <v/>
      </c>
      <c r="G135" s="1">
        <f>SUM(G133:G134)</f>
        <v>5700</v>
      </c>
    </row>
    <row r="137">
      <c r="A137" t="str">
        <v>무료 (다운로드)</v>
      </c>
      <c r="B137" t="str">
        <v>소프트웨어</v>
      </c>
      <c r="C137" t="str">
        <v>FluidSynth 2.6.1 (무료)</v>
      </c>
      <c r="D137" t="str">
        <v>FluidSynth 2.6.1</v>
      </c>
      <c r="E137">
        <v>1</v>
      </c>
      <c r="F137" s="1">
        <v>0</v>
      </c>
      <c r="G137" s="1">
        <f>E137*F137</f>
        <v>0</v>
      </c>
      <c r="H137" t="str">
        <v>기본</v>
      </c>
      <c r="I137" t="str">
        <v>https://www.fluidsynth.org/</v>
      </c>
      <c r="J137" t="str">
        <v>Pi 5의 microSD에 설치하는 피아노 소리 엔진. USB-MIDI 8개(O1~O7, PED)를 midi.autoconnect=1로 한 곳에 모으고, ALSA hw:로 USB 동글(L51)에 48 kHz로 낸다. 출력 리미터를 켜 둔다(D18).</v>
      </c>
    </row>
    <row r="138">
      <c r="A138" t="str">
        <v>무료 (다운로드)</v>
      </c>
      <c r="B138" t="str">
        <v>소프트웨어</v>
      </c>
      <c r="C138" t="str">
        <v>Salamander 그랜드 피아노 음원 (무료)</v>
      </c>
      <c r="D138" t="str">
        <v>Salamander Grand Piano V3 (FreePats SF2판)</v>
      </c>
      <c r="E138">
        <v>1</v>
      </c>
      <c r="F138" s="1">
        <v>0</v>
      </c>
      <c r="G138" s="1">
        <f>E138*F138</f>
        <v>0</v>
      </c>
      <c r="H138" t="str">
        <v>기본</v>
      </c>
      <c r="I138" t="str">
        <v>https://freepats.zenvoid.org/Piano/acoustic-grand-piano.html</v>
      </c>
      <c r="J138" t="str">
        <v>FluidSynth가 읽는 피아노 음원 SF2 파일(296 MB) 1개를 Pi 5 microSD에 넣는다.</v>
      </c>
    </row>
    <row r="139">
      <c r="A139" t="str">
        <v>무료 (다운로드)</v>
      </c>
      <c r="B139" t="str">
        <v>배송비</v>
      </c>
      <c r="C139" t="str">
        <v>배송비</v>
      </c>
      <c r="D139" t="str">
        <v/>
      </c>
      <c r="E139">
        <v>1</v>
      </c>
      <c r="F139" s="1">
        <v>0</v>
      </c>
      <c r="G139" s="1">
        <f>E139*F139</f>
        <v>0</v>
      </c>
      <c r="H139" t="str">
        <v>배송비</v>
      </c>
      <c r="I139" t="str">
        <v/>
      </c>
      <c r="J139" t="str">
        <v/>
      </c>
    </row>
    <row r="140">
      <c r="A140" t="str">
        <v/>
      </c>
      <c r="B140" t="str">
        <v/>
      </c>
      <c r="C140" t="str">
        <v>무료 (다운로드) 소계</v>
      </c>
      <c r="D140" t="str">
        <v/>
      </c>
      <c r="E140" t="str">
        <v/>
      </c>
      <c r="F140" t="str">
        <v/>
      </c>
      <c r="G140" s="1">
        <f>SUM(G137:G139)</f>
        <v>0</v>
      </c>
    </row>
    <row r="142">
      <c r="A142" t="str">
        <v/>
      </c>
      <c r="B142" t="str">
        <v/>
      </c>
      <c r="C142" t="str">
        <v>최종 금액 (배송비 포함)</v>
      </c>
      <c r="D142" t="str">
        <v/>
      </c>
      <c r="E142" t="str">
        <v/>
      </c>
      <c r="F142" t="str">
        <v/>
      </c>
      <c r="G142" s="1">
        <f>G18+G37+G42+G46+G51+G55+G63+G68+G72+G76+G80+G84+G89+G94+G99+G110+G115+G119+G123+G127+G131+G135+G140</f>
        <v>654061</v>
      </c>
    </row>
  </sheetData>
  <ignoredErrors>
    <ignoredError numberStoredAsText="1" sqref="A1:J142"/>
  </ignoredErrors>
</worksheet>
</file>

<file path=xl/worksheets/sheet2.xml><?xml version="1.0" encoding="utf-8"?>
<worksheet xmlns="http://schemas.openxmlformats.org/spreadsheetml/2006/main" xmlns:r="http://schemas.openxmlformats.org/officeDocument/2006/relationships">
  <dimension ref="A1:J70"/>
  <sheetViews>
    <sheetView workbookViewId="0"/>
  </sheetViews>
  <cols>
    <col min="1" max="1" width="12.83203125" customWidth="1"/>
    <col min="2" max="2" width="34.83203125" customWidth="1"/>
    <col min="3" max="3" width="7.83203125" customWidth="1"/>
    <col min="4" max="4" width="10.83203125" customWidth="1"/>
    <col min="5" max="5" width="12.83203125" customWidth="1"/>
    <col min="6" max="6" width="9.83203125" customWidth="1"/>
    <col min="7" max="7" width="24.83203125" customWidth="1"/>
    <col min="8" max="8" width="60.83203125" customWidth="1"/>
    <col min="9" max="9" width="60.83203125" customWidth="1"/>
    <col min="10" max="10" width="40.83203125" customWidth="1"/>
  </cols>
  <sheetData>
    <row r="1">
      <c r="A1" t="str">
        <v>분류</v>
      </c>
      <c r="B1" t="str">
        <v>품목</v>
      </c>
      <c r="C1" t="str">
        <v>수량</v>
      </c>
      <c r="D1" t="str">
        <v>단가(원)</v>
      </c>
      <c r="E1" t="str">
        <v>금액(원)</v>
      </c>
      <c r="F1" t="str">
        <v>처음 수량</v>
      </c>
      <c r="G1" t="str">
        <v>판매처</v>
      </c>
      <c r="H1" t="str">
        <v>쓰는 곳</v>
      </c>
      <c r="I1" t="str">
        <v>규격</v>
      </c>
      <c r="J1" t="str">
        <v>링크</v>
      </c>
    </row>
    <row r="2">
      <c r="A2" t="str">
        <v>제어·전원</v>
      </c>
      <c r="B2" t="str">
        <v>Raspberry Pi 5 (2GB)</v>
      </c>
      <c r="C2">
        <v>1</v>
      </c>
      <c r="D2" s="1">
        <v>119900</v>
      </c>
      <c r="E2" s="1">
        <f>C2*D2</f>
        <v>119900</v>
      </c>
      <c r="F2">
        <v>1</v>
      </c>
      <c r="G2" t="str">
        <v>아이씨뱅큐</v>
      </c>
      <c r="H2" t="str">
        <v>가운데 유닛 CU 칸의 출력 트레이 보스 4개에 M2.5×6 나사(L47)로 1대를 고정한다. USB-A 한 포트에 허브 업스트림 선(W209), 다른 포트에 USB 동글(젠더 X701)을 꽂는다. 전원은 강압 모듈에서 C24 선으로 USB-C에 받는다. FluidSynth를 돌리고, 2단계 리듬게임도 콘솔 모드에서는 여기서 돌린다(PC 모드에서는 PC가 맡는다).</v>
      </c>
      <c r="I2" t="str">
        <v>SoC: Broadcom BCM2712, Cortex-A76 4코어 2.4 GHz / 메모리: 2GB LPDDR4X / 포트: USB 3.0 ×2, USB 2.0 ×2, micro-HDMI ×2, USB-C 전원 / 기판 크기: 85 × 56 mm / KC: R-R-P2R-RP5 / 전원 설정: EEPROM PSU_MAX_CURRENT=5000, config.txt usb_max_current_enable=1 / 가격: 119,900원 (아이씨뱅큐 P016286897)</v>
      </c>
      <c r="J2" t="str">
        <v>https://www.icbanq.com/P016286897</v>
      </c>
    </row>
    <row r="3">
      <c r="A3" t="str">
        <v>제어·전원</v>
      </c>
      <c r="B3" t="str">
        <v>PD 트리거 모듈 HUSB238 (20 V)</v>
      </c>
      <c r="C3">
        <v>1</v>
      </c>
      <c r="D3" s="1">
        <v>4950</v>
      </c>
      <c r="E3" s="1">
        <f>C3*D3</f>
        <v>4950</v>
      </c>
      <c r="F3">
        <v>1</v>
      </c>
      <c r="G3" t="str">
        <v>아이씨뱅큐 · 아이씨뱅큐 (제노)</v>
      </c>
      <c r="H3" t="str">
        <v>CU 칸 뒤판인 I/O 판 안쪽 포켓에 1개를 끼워 USB-C 구멍이 본체 밖을 향하게 한다. 충전기 선(C23)이나 보조배터리 선(C22)이 여기에 꽂힌다. 출력 +는 퓨즈 → 스위치로, −는 강압 모듈 IN− 별 접지점으로 간다(SCH-06 A601).</v>
      </c>
      <c r="I3" t="str">
        <v>칩: HUSB238 (상세 사진 'HUSB238 000DD') / 입력: USB-C 암 소켓, USB PD / 출력 전압: 5/9/12/15/20 V, 납땜 패드 3쌍 모두 열림 = 20 V(기본) / 최대 출력: 20 V 5 A 100 W (판매 표기) / 출력 단자: 구멍 패드 4개 (+ 둥근 2, − 네모 2) / 크기: 16.4 × 10 × 4.4 mm / 판매 코드: 제노 HAM6113, 아이씨뱅큐 P017179277, 4,950원</v>
      </c>
      <c r="J3" t="str">
        <v>https://www.icbanq.com/P017179277</v>
      </c>
    </row>
    <row r="4">
      <c r="A4" t="str">
        <v>제어·전원</v>
      </c>
      <c r="B4" t="str">
        <v>KCD1-101A 로커 스위치 (검정)</v>
      </c>
      <c r="C4">
        <v>1</v>
      </c>
      <c r="D4" s="1">
        <v>385</v>
      </c>
      <c r="E4" s="1">
        <f>C4*D4</f>
        <v>385</v>
      </c>
      <c r="F4">
        <v>1</v>
      </c>
      <c r="G4" t="str">
        <v>엘레파츠</v>
      </c>
      <c r="H4" t="str">
        <v>I/O 판의 스위치 구멍에 1개를 끼운다(스냅인). 퓨즈 뒤 20 V 선에 들어가 앰프와 강압 모듈을 함께 켜고 끈다(SCH-06 SW601).</v>
      </c>
      <c r="I4" t="str">
        <v>형식: KCD1-101A, 2핀 ON-OFF(SPST), 오목형, I/O 표시 / 정격: 6 A 250 VAC / 10 A 125 VAC (DC 정격 미공개) / 패널 구멍: 약 19 × 13 mm (연구 노트 19.2 × 13.2, 테두리 21 × 15) / 단자: 러그 2개, 방향 구분 없음 / 가격: 385원 (엘레파츠 no=32569, 제품번호 EPX389PN)</v>
      </c>
      <c r="J4" t="str">
        <v>https://www.eleparts.co.kr/goods/view?no=32569</v>
      </c>
    </row>
    <row r="5">
      <c r="A5" t="str">
        <v>제어·전원</v>
      </c>
      <c r="B5" t="str">
        <v>Coms BU914 퓨즈 홀더 (5×20)</v>
      </c>
      <c r="C5">
        <v>1</v>
      </c>
      <c r="D5" s="1">
        <v>1110</v>
      </c>
      <c r="E5" s="1">
        <f>C5*D5</f>
        <v>1110</v>
      </c>
      <c r="F5">
        <v>1</v>
      </c>
      <c r="G5" t="str">
        <v>엘레파츠</v>
      </c>
      <c r="H5" t="str">
        <v>PD 트리거 출력 + 선(트리거와 스위치 사이)에 1개를 넣는다. 홀더 빨간 선 가운데를 잘라 양쪽을 납땜하고 수축튜브로 감싼다(SCH-06 F601).</v>
      </c>
      <c r="I5" t="str">
        <v>형식: 인라인 원형 홀더, 돌려 여는 뚜껑 / 퓨즈 규격: 5 × 20 mm 유리관용 / 선: 빨간 선 약 30 cm, 굵기 미공개 / 정격: 전압·전류 정격 미공개 / 가격: 1,110원 (엘레파츠 no=3237821)</v>
      </c>
      <c r="J5" t="str">
        <v>https://www.eleparts.co.kr/goods/view?no=3237821</v>
      </c>
    </row>
    <row r="6">
      <c r="A6" t="str">
        <v>제어·전원</v>
      </c>
      <c r="B6" t="str">
        <v>Littelfuse 5 A 지연형 퓨즈 5×20</v>
      </c>
      <c r="C6">
        <v>5</v>
      </c>
      <c r="D6" s="1">
        <v>110</v>
      </c>
      <c r="E6" s="1">
        <f>C6*D6</f>
        <v>550</v>
      </c>
      <c r="F6">
        <v>5</v>
      </c>
      <c r="G6" t="str">
        <v>엘레파츠</v>
      </c>
      <c r="H6" t="str">
        <v>퓨즈 홀더(i017) 안에 1개를 넣는다. 나머지 4개는 예비로 둔다.</v>
      </c>
      <c r="I6" t="str">
        <v>모델: Littelfuse 0218005.MXP (218 시리즈) / 크기: 5 × 20 mm 유리관 / 정격: 5 A 지연형(T, Slo-Blo), 250 VAC / 차단 용량: 50 A @ 250 VAC / 냉저항: 약 0.0104 Ω / 가격: 110원 × 5 = 550원 (엘레파츠 no=12766820)</v>
      </c>
      <c r="J6" t="str">
        <v>https://www.eleparts.co.kr/goods/view?no=12766820</v>
      </c>
    </row>
    <row r="7">
      <c r="A7" t="str">
        <v>제어·전원</v>
      </c>
      <c r="B7" t="str">
        <v>USB-C↔C PD 60W 케이블 0.6 m</v>
      </c>
      <c r="C7">
        <v>1</v>
      </c>
      <c r="D7" s="1">
        <v>1440</v>
      </c>
      <c r="E7" s="1">
        <f>C7*D7</f>
        <v>1440</v>
      </c>
      <c r="F7">
        <v>1</v>
      </c>
      <c r="G7" t="str">
        <v>엘레파츠</v>
      </c>
      <c r="H7" t="str">
        <v>보조배터리로 칠 때만 쓴다. 보조배터리 칸의 배터리에서 낮은 칸막이 위 → CU 칸 → I/O 판 선 통과 구멍으로 빼서 PD 트리거 USB-C 입력에 1개를 꽂는다(W601).</v>
      </c>
      <c r="I7" t="str">
        <v>모델: MachLink ML-CPD606, 검정 / 단자: USB-C 수 ↔ USB-C 수, USB 2.0 / 전력: PD 60 W (20 V 3 A) / 길이: 0.6 m / 가격: 1,440원 (엘레파츠 no=17806172)</v>
      </c>
      <c r="J7" t="str">
        <v>https://www.eleparts.co.kr/goods/view?no=17806172</v>
      </c>
    </row>
    <row r="8">
      <c r="A8" t="str">
        <v>센서·MCU·기판</v>
      </c>
      <c r="B8" t="str">
        <v>홀센서 TI DRV5055A2QLPG</v>
      </c>
      <c r="C8">
        <v>100</v>
      </c>
      <c r="D8" s="1">
        <v>891</v>
      </c>
      <c r="E8" s="1">
        <f>C8*D8</f>
        <v>89100</v>
      </c>
      <c r="F8">
        <v>100</v>
      </c>
      <c r="G8" t="str">
        <v>아이씨뱅큐 · 아이씨뱅큐 (LCSC 해외 재고)</v>
      </c>
      <c r="H8" t="str">
        <v>건반 밑 자석(Ø5×2)과의 거리를 전압으로 재는 센서다. 모듈 센서 기판마다 12개(U201~U212) × 7 = 84, 끝 부속 EL 3개(A0·A#0·B0) + ER 1개(C8), 페달 안 1개(U551) = 89개 사용. 건반용은 표시면을 위로 눕혀 센서 바 포켓에 넣고, 다리를 2.54 간격으로 벌려 꺾어 센서 기판에 납땜한다. 페달용은 페달 바닥판에 만능기판 자투리와 함께 표시면이 위로 오게 붙인다(SCH-05 주 1).</v>
      </c>
      <c r="I8" t="str">
        <v>품번: TI DRV5055A2QLPG (TO-92, LPG 벌크) / 감도: 3.3 V에서 30 mV/mT (A2 등급) / 선형 범위: 3.3 V에서 ±44 mT / 전원: 3.0~3.63 V (여기서는 3.3 V) / 자석 없을 때 출력: 1.59~1.71 V / 핀: 1 VCC · 2 GND · 3 OUT, 간격 1.27 mm / 몸통: 약 4.0 × 3.15 × 1.5 mm / 전류: 2 mA typ / 4 mA max (데이터시트 Rev C)</v>
      </c>
      <c r="J8" t="str">
        <v>https://www.icbanq.com/P018076669</v>
      </c>
    </row>
    <row r="9">
      <c r="A9" t="str">
        <v>센서·MCU·기판</v>
      </c>
      <c r="B9" t="str">
        <v>핀헤더 1×40 (2.54 mm, 수)</v>
      </c>
      <c r="C9">
        <v>9</v>
      </c>
      <c r="D9" s="1">
        <v>165</v>
      </c>
      <c r="E9" s="1">
        <f>C9*D9</f>
        <v>1485</v>
      </c>
      <c r="F9">
        <v>9</v>
      </c>
      <c r="G9" t="str">
        <v>아이씨뱅큐</v>
      </c>
      <c r="H9" t="str">
        <v>제어 기판에 먹스 모듈과 RP2040-Zero를 세워 납땜하는 핀이다. 먹스 7개 × (1×16 + 1×8) = 168핀, RP2040-Zero 8개(O1~O7 + 페달 보드) × 1×9 ×2 = 144핀, 합 312핀. 제로용은 플라스틱 몰드를 빼고 좌·우 줄만 쓴다(아래 줄 없음).</v>
      </c>
      <c r="I9" t="str">
        <v>형태: 1×40 수 핀헤더, 스트레이트, 1단 몰드 / 피치: 2.54 mm / 전체 길이: 11.5 mm / 나누기: 핀 손실 없이 부러뜨려 나눔 / 필요 핀: 먹스 168 + 제로 144 = 312핀 / 단가: 150원 + VAT = 165원</v>
      </c>
      <c r="J9" t="str">
        <v>https://www.icbanq.com/P005666127</v>
      </c>
    </row>
    <row r="10">
      <c r="A10" t="str">
        <v>센서·MCU·기판</v>
      </c>
      <c r="B10" t="str">
        <v>100 nF 1206 칩 콘덴서 (삼성)</v>
      </c>
      <c r="C10">
        <v>97</v>
      </c>
      <c r="D10" s="1">
        <v>44</v>
      </c>
      <c r="E10" s="1">
        <f>C10*D10</f>
        <v>4268</v>
      </c>
      <c r="F10">
        <v>100</v>
      </c>
      <c r="G10" t="str">
        <v>아이씨뱅큐 · 아이씨뱅큐 (LCSC 해외 재고)</v>
      </c>
      <c r="H10" t="str">
        <v>센서마다 붙이는 전원 안정 콘덴서다. 센서 기판 아랫면 센서마다 1개(C201~C212) × 7 = 84, 끝 부속 EL 3(C401~C403) + ER 1(C411), 페달 안 센서 1(C551), 페달 보드 ADC 필터 1(C501), 제어 기판 먹스 전원 C301 × 7 = 97개 사용. 센서용은 3V3–GND 패드 사이에, C301은 제어 기판 아랫면 먹스 VCC–GND 사이에, C501은 ADC 입력–GND 사이에 납땜한다.</v>
      </c>
      <c r="I10" t="str">
        <v>품번: Samsung CL31B104KCFNNNE / 용량: 100 nF ±10 % / 정격·유전체: 100 V, X7R / 크기: 1206 (3.2 × 1.6 × 1.25 mm) / 단가: 40원 + VAT = 44원 / 배송: LCSC 해외 재고, 약 1주</v>
      </c>
      <c r="J10" t="str">
        <v>https://www.icbanq.com/P014968846</v>
      </c>
    </row>
    <row r="11">
      <c r="A11" t="str">
        <v>센서·MCU·기판</v>
      </c>
      <c r="B11" t="str">
        <v>10 µF 1206 칩 콘덴서 (50개)</v>
      </c>
      <c r="C11">
        <v>1</v>
      </c>
      <c r="D11" s="1">
        <v>7150</v>
      </c>
      <c r="E11" s="1">
        <f>C11*D11</f>
        <v>7150</v>
      </c>
      <c r="F11">
        <v>1</v>
      </c>
      <c r="G11" t="str">
        <v>아이씨뱅큐 · 아이씨뱅큐 (오렌지반도체)</v>
      </c>
      <c r="H11" t="str">
        <v>센서 3V3 버스의 전원 안정 콘덴서다. 센서 기판 아랫면 버스 양 끝(C213 x8.25, C214 x158.11) × 7 = 14, 끝 부속 EL C404 + ER C412 = 16개 사용(회로 △1·△3).</v>
      </c>
      <c r="I11" t="str">
        <v>품명: C3216-10UF(K 16V) / 용량·정격: 10 µF ±10 %, 16 V / 크기: 1206 (3216) / 제조사·유전체: 표기 없음 (X5R 추정) / 값: 6,500원 + VAT = 7,150원 / 50개 / 배송: 국내 재고(오렌지반도체), 1~2일</v>
      </c>
      <c r="J11" t="str">
        <v>https://www.icbanq.com/P001248090</v>
      </c>
    </row>
    <row r="12">
      <c r="A12" t="str">
        <v>센서·MCU·기판</v>
      </c>
      <c r="B12" t="str">
        <v>1 kΩ 1206 칩 저항 (Yageo)</v>
      </c>
      <c r="C12">
        <v>10</v>
      </c>
      <c r="D12" s="1">
        <v>44</v>
      </c>
      <c r="E12" s="1">
        <f>C12*D12</f>
        <v>440</v>
      </c>
      <c r="F12">
        <v>10</v>
      </c>
      <c r="G12" t="str">
        <v>아이씨뱅큐 · 아이씨뱅큐 (element14 해외 재고)</v>
      </c>
      <c r="H12" t="str">
        <v>끝 부속 센서 기판 아랫면에서 센서 OUT에 직렬로 다는 저항이다. EL R401~R403(A0·A#0·B0) + ER R411(C8) = 4개 사용. 약 0.6 m 선의 용량이 센서 출력에 바로 걸리지 않게 한다(△8·△13).</v>
      </c>
      <c r="I12" t="str">
        <v>품번: Yageo RC1206JR-071KL / 값: 1 kΩ ±5 %, 1/4 W / 크기: 1206 (3216) 칩 / 단가: 40원 + VAT = 44원 (10개 440원) / 배송: element14 해외 재고, 4~6일</v>
      </c>
      <c r="J12" t="str">
        <v>https://www.icbanq.com/P011433924</v>
      </c>
    </row>
    <row r="13">
      <c r="A13" t="str">
        <v>센서·MCU·기판</v>
      </c>
      <c r="B13" t="str">
        <v>16심 리본 케이블 2651-16P (센서 선)</v>
      </c>
      <c r="C13">
        <v>2</v>
      </c>
      <c r="D13" s="1">
        <v>1529</v>
      </c>
      <c r="E13" s="1">
        <f>C13*D13</f>
        <v>3058</v>
      </c>
      <c r="F13">
        <v>2</v>
      </c>
      <c r="G13" t="str">
        <v>엘레파츠</v>
      </c>
      <c r="H13" t="str">
        <v>모듈마다 센서 기판 J201과 제어 기판 J301을 잇는 리본 1장(16심 전부, 약 180 mm, W101~W107) × 7. 끝 부속 EL 리드 5심 350 mm(W401)와 ER 리드 3심 300 mm(W411)도 이 리본을 갈라 만든다. 양 끝은 커넥터 없이 기판 아랫면 2×8 구멍에 바로 납땜한다.</v>
      </c>
      <c r="I13" t="str">
        <v>품번: EUNSUNG 2651-16P (UL2651) / 심선: 16심, 28 AWG 연선(7/0.127) / 피치·폭: 1.27 mm, 폭 20.32 mm, 두께 0.89 mm / 표시: 1번 심 빨간 줄 / 정격: 105 °C, 300 V, 도체 저항 ≤ 224 Ω/km / 단가: 1,390원 + VAT = 1,529원/m</v>
      </c>
      <c r="J13" t="str">
        <v>https://www.eleparts.co.kr/goods/view?no=425</v>
      </c>
    </row>
    <row r="14">
      <c r="A14" t="str">
        <v>센서·MCU·기판</v>
      </c>
      <c r="B14" t="str">
        <v>16심 리본 케이블 추가 1 m (배선용)</v>
      </c>
      <c r="C14">
        <v>1</v>
      </c>
      <c r="D14" s="1">
        <v>1529</v>
      </c>
      <c r="E14" s="1">
        <f>C14*D14</f>
        <v>1529</v>
      </c>
      <c r="F14">
        <v>1</v>
      </c>
      <c r="G14" t="str">
        <v>엘레파츠</v>
      </c>
      <c r="H14" t="str">
        <v>리본을 한 가닥씩 갈라 기판 배선에 쓴다. 센서 기판 아랫면 3V3·GND 버스와 OUT → 리본 블록 선, 제어 기판 점 대 점 배선(SIG·S0~S3·EN·ID 브리지 등), 페달 잭 → 페달 보드 4가닥(W502, 약 10 cm).</v>
      </c>
      <c r="I14" t="str">
        <v>품번: EUNSUNG 2651-16P (C05와 같은 상품) / 심선: 28 AWG 연선(7/0.127), 16심 / 가닥 길이: 1 m × 16 = 약 16 m / 단가: 1,529원/m / 쓰는 법: 피복을 벗기고 납을 먹여 버스·점퍼로</v>
      </c>
      <c r="J14" t="str">
        <v>https://www.eleparts.co.kr/goods/view?no=425</v>
      </c>
    </row>
    <row r="15">
      <c r="A15" t="str">
        <v>센서·MCU·기판</v>
      </c>
      <c r="B15" t="str">
        <v>탄소피막 저항 1 kΩ (10개)</v>
      </c>
      <c r="C15">
        <v>10</v>
      </c>
      <c r="D15" s="1">
        <v>25</v>
      </c>
      <c r="E15" s="1">
        <f>C15*D15</f>
        <v>250</v>
      </c>
      <c r="F15">
        <v>10</v>
      </c>
      <c r="G15" t="str">
        <v>엘레파츠</v>
      </c>
      <c r="H15" t="str">
        <v>1 kΩ 4개 사용. CU 칸 앰프 입력 저음 차단 필터의 풀다운 R701·R702(채널마다 1 µF 2개 병렬과 짝을 이루고, 앰프 입력 9 kΩ와 겹쳐 약 93 Hz), 페달 보드 ADC 입력 R501, 페달 안 센서 출력 바로 뒤 R551.</v>
      </c>
      <c r="I15" t="str">
        <v>품명: ABCO CFR 탄소피막 저항 / 값: 1 kΩ ±5 %, 1/4 W / 색띠: 갈·검·빨·금 / 크기: 리드형, 몸통 약 Ø2.5 × 6.3 mm (도면 풋프린트 DIN0207) / 값: 10개 250원</v>
      </c>
      <c r="J15" t="str">
        <v>https://www.eleparts.co.kr/goods/view?no=10911</v>
      </c>
    </row>
    <row r="16">
      <c r="A16" t="str">
        <v>센서·MCU·기판</v>
      </c>
      <c r="B16" t="str">
        <v>탄소피막 저항 100 kΩ (10개)</v>
      </c>
      <c r="C16">
        <v>10</v>
      </c>
      <c r="D16" s="1">
        <v>25</v>
      </c>
      <c r="E16" s="1">
        <f>C16*D16</f>
        <v>250</v>
      </c>
      <c r="F16">
        <v>10</v>
      </c>
      <c r="G16" t="str">
        <v>엘레파츠</v>
      </c>
      <c r="H16" t="str">
        <v>EXT 입력이 떠서 유령 음이 나지 않게 하는 풀다운이다(필수, △8). O1 제어 기판 R301·R302·R303(A0·A#0·B0), O7 제어 기판 R301(C8), 페달 보드 R502(팁 → GND) = 5개 사용.</v>
      </c>
      <c r="I16" t="str">
        <v>품명: ABCO CFR 탄소피막 저항 / 값: 100 kΩ ±5 %, 1/4 W / 색띠: 갈·검·노랑·금 / 크기: 리드형, 몸통 약 Ø2.5 × 6.3 mm / 값: 10개 250원</v>
      </c>
      <c r="J16" t="str">
        <v>https://www.eleparts.co.kr/goods/view?no=10993</v>
      </c>
    </row>
    <row r="17">
      <c r="A17" t="str">
        <v>센서·MCU·기판</v>
      </c>
      <c r="B17" t="str">
        <v>탄소피막 저항 100 Ω (10개)</v>
      </c>
      <c r="C17">
        <v>10</v>
      </c>
      <c r="D17" s="1">
        <v>25</v>
      </c>
      <c r="E17" s="1">
        <f>C17*D17</f>
        <v>250</v>
      </c>
      <c r="F17">
        <v>10</v>
      </c>
      <c r="G17" t="str">
        <v>엘레파츠</v>
      </c>
      <c r="H17" t="str">
        <v>페달 보드(PB, CU 칸 안)의 링 급전 저항 R503이다. 100 Ω 5개를 병렬로 묶어 20 Ω로 쓴다. 플러그를 꽂는 순간 3V3–GND가 이어져도 전류를 약 165 mA로 막아 페달 보드가 리셋되지 않게 한다(△4, 필수).</v>
      </c>
      <c r="I17" t="str">
        <v>품명: ABCO CFR 탄소피막 저항 / 값: 100 Ω ±5 %, 1/4 W / 색띠: 갈·검·갈·금 / 쓰는 법: 5개 병렬 = 20 Ω / 값: 10개 250원</v>
      </c>
      <c r="J17" t="str">
        <v>https://www.eleparts.co.kr/goods/view?no=10873</v>
      </c>
    </row>
    <row r="18">
      <c r="A18" t="str">
        <v>센서·MCU·기판</v>
      </c>
      <c r="B18" t="str">
        <v>만능기판 5×7 cm (제어 기판용)</v>
      </c>
      <c r="C18">
        <v>8</v>
      </c>
      <c r="D18" s="1">
        <v>520</v>
      </c>
      <c r="E18" s="1">
        <f>C18*D18</f>
        <v>4160</v>
      </c>
      <c r="F18">
        <v>8</v>
      </c>
      <c r="G18" t="str">
        <v>메카솔루션</v>
      </c>
      <c r="H18" t="str">
        <v>O1~O7 모듈 제어 기판 7장(모듈 뒤쪽 바닥 구멍으로 밑에서 넣음) + CU 칸 안 페달 보드(PB) 1장 = 8장. RP2040-Zero, 먹스, 리본 블록, EXT 패드가 여기에 납땜된다.</v>
      </c>
      <c r="I18" t="str">
        <v>크기: 50 × 70 mm, 18 × 24 구멍 / 구조: 양면, 2.54 mm 간격 / 제어 기판 외곽: 70 × 50 mm (x47.25~117.25 × y145.5~195.5), 구멍 격자를 제로 핀 격자에 맞춰 자름 / 따낼 홈: x81.92~84.72 × y145.5~172.0 / 뚫을 구멍: M3 나사용 Ø3.2 ×2, 위치 핀용 Ø3.0 ×2 / 값: 520원 (VAT 포함)</v>
      </c>
      <c r="J18" t="str">
        <v>https://www.mechasolution.com/goods/goods_view.php?goodsNo=329798</v>
      </c>
    </row>
    <row r="19">
      <c r="A19" t="str">
        <v>센서·MCU·기판</v>
      </c>
      <c r="B19" t="str">
        <v>RP2040-Zero 보드 (PP-A799-2)</v>
      </c>
      <c r="C19">
        <v>8</v>
      </c>
      <c r="D19" s="1">
        <v>3300</v>
      </c>
      <c r="E19" s="1">
        <f>C19*D19</f>
        <v>26400</v>
      </c>
      <c r="F19">
        <v>8</v>
      </c>
      <c r="G19" t="str">
        <v>파츠파츠 직영몰 · 파츠파츠 (동신전자)</v>
      </c>
      <c r="H19" t="str">
        <v>모듈 O1~O7 제어 기판마다 1개(7개) + CU 칸 페달 보드 1개 = 8개. 먹스를 돌려 센서 값을 읽고 속도를 계산해 USB-MIDI 장치('Toccata O1'~'O7', 'Toccata PED')가 된다. 안쪽 구멍에 핀 헤더 1×9 ×2(몰드 뺌)로 세워 납땜하고, 밑면 부품 위에 캡톤을 깐다(약 +1.3 mm).</v>
      </c>
      <c r="I19" t="str">
        <v>판매 품번: 파츠파츠 PP-A799-2 (Waveshare RP2040-Zero 호환, 중국 OEM) / 크기: 18.0 × 23.5 mm / 칩: RP2040 (B2), 플래시 2 MB / USB: USB-C, USB-MIDI 장치 / 쓰는 핀: GP26(ADC0) = 먹스 SIG, GP2~5 = S0~S3, GP6~8 = ID, GP14 = PED_SEL / 3V3 전원: 원본은 RT9013-33 500 mA LDO (복제품은 확인 필요) / 값: 3,300원 (VAT 포함)</v>
      </c>
      <c r="J19" t="str">
        <v>https://parts-parts.co.kr/product/detail.html?product_no=2383</v>
      </c>
    </row>
    <row r="20">
      <c r="A20" t="str">
        <v>센서·MCU·기판</v>
      </c>
      <c r="B20" t="str">
        <v>16채널 먹스 모듈 CD74HC4067</v>
      </c>
      <c r="C20">
        <v>7</v>
      </c>
      <c r="D20" s="1">
        <v>500</v>
      </c>
      <c r="E20" s="1">
        <f>C20*D20</f>
        <v>3500</v>
      </c>
      <c r="F20">
        <v>7</v>
      </c>
      <c r="G20" t="str">
        <v>파츠파츠 직영몰 · 파츠파츠 (동신전자)</v>
      </c>
      <c r="H20" t="str">
        <v>모듈 O1~O7 제어 기판마다 1개(x54.93~72.71에 세로로) = 7개. 그 옥타브 홀센서 12개(C0~C11)와 끝 부속 EXT(C12~C15: O1은 A0·A#0·B0, O7은 C8)를 RP2040-Zero ADC0(GP26) 한 채널로 읽는다. 소켓 없이 핀헤더로 기판에 바로 납땜한다.</v>
      </c>
      <c r="I20" t="str">
        <v>칩: CD74HC4067 (HC, SSOP-24), 16채널 아날로그 먹스 / 기판: 약 40.6 × 17.8 mm, 두 줄 간격 15.24 mm / 핀: C0~C15 (1×16) + GND·VCC·EN·S0~S3·SIG (1×8), 2.54 mm / 고정 구멍: Ø3.3 ×2 / 기판 위 부품: 0.1 µF(VCC–GND), EN–GND 10 kΩ / 값: 500원 (VAT 포함)</v>
      </c>
      <c r="J20" t="str">
        <v>https://parts-parts.co.kr/product/detail.html?product_no=303</v>
      </c>
    </row>
    <row r="21">
      <c r="A21" t="str">
        <v>센서·MCU·기판</v>
      </c>
      <c r="B21" t="str">
        <v>네오디뮴 자석 Ø5×2 N35</v>
      </c>
      <c r="C21">
        <v>89</v>
      </c>
      <c r="D21" s="1">
        <v>80</v>
      </c>
      <c r="E21" s="1">
        <f>C21*D21</f>
        <v>7120</v>
      </c>
      <c r="F21">
        <v>100</v>
      </c>
      <c r="G21" t="str">
        <v>대건상사</v>
      </c>
      <c r="H21" t="str">
        <v>건반 밑면 포켓(y67)에 S극이 아래로 가게 눌러 넣고 순간접착제 한 방울로 고정한다. 바로 아래 센서 바의 홀센서가 이 자석까지의 거리를 읽는다. 페달용 1개는 페달 발판 밑면 발끝 쪽에 S극이 아래로 가게 붙인다. 건반 88 + 페달 1 = 89개를 쓴다.</v>
      </c>
      <c r="I21" t="str">
        <v>치수: Ø5 × 2 mm (2.0T 옵션) / 재질·등급: NdFeB N35 (Br 약 1.20 T, v3 자료) / 자화 방향: 두께 방향 (원판) / 설치: 건반 밑 포켓 Ø5.2 × 2.1, S극 아래, y67 / 센서 거리: 쉼 백 10.82 / 흑 13.35 mm, 바닥 약 5.5 mm / 판매: 대건상사 80원/개, 배송비 2,500원 (5만 원 이상 무료)</v>
      </c>
      <c r="J21" t="str">
        <v>https://dgmagnet.com/product/%EC%B4%88%EA%B0%95%EB%A0%A5-%EB%84%A4%EC%98%A4%EB%94%94%EC%9B%80-%EC%9B%90%ED%98%95%EC%9E%90%EC%84%9D-5mm/13/</v>
      </c>
    </row>
    <row r="22">
      <c r="A22" t="str">
        <v>센서·MCU·기판</v>
      </c>
      <c r="B22" t="str">
        <v>JST-XH 6핀 연장선 200 mm (5S)</v>
      </c>
      <c r="C22">
        <v>2</v>
      </c>
      <c r="D22" s="1">
        <v>3000</v>
      </c>
      <c r="E22" s="1">
        <f>C22*D22</f>
        <v>6000</v>
      </c>
      <c r="F22">
        <v>2</v>
      </c>
      <c r="G22" t="str">
        <v>알씨뱅크</v>
      </c>
      <c r="H22" t="str">
        <v>끝 부속 센서 선과 O1·O7 제어 기판을 잇는 6핀 커넥터 2쌍이다(왼쪽 EL ↔ O1, 오른쪽 ER ↔ O7). 200 mm 선을 모듈 쪽 150 mm · 끝 부속 쪽 50 mm로 자른다. 150 mm 쪽은 O1·O7 제어 기판 J302 패드(아랫면)에, 50 mm 쪽은 끝 부속 리본 리드에 납땜하고, 두 쪽을 모듈 뒤 통로에서 꽂는다.</v>
      </c>
      <c r="I22" t="str">
        <v>커넥터: JST-XH 6핀 (5S 밸런스 연장선, BU-LP 5S) / 피치: 2.50 mm / 전선: 22 AWG 실리콘, 200 mm / 선 색: 빨강 1 + 검정 5 / 자르는 길이: 모듈 쪽 150 · 끝 부속 쪽 50 mm / 값: 3,000원</v>
      </c>
      <c r="J22" t="str">
        <v>https://www.rcbank.co.kr/shop/goods/goods_view.php?goodsno=29812</v>
      </c>
    </row>
    <row r="23">
      <c r="A23" t="str">
        <v>건반 액션</v>
      </c>
      <c r="B23" t="str">
        <v>M3 육각너트 강철 (LCSC C133377)</v>
      </c>
      <c r="C23">
        <v>92</v>
      </c>
      <c r="D23" s="1">
        <v>11</v>
      </c>
      <c r="E23" s="1">
        <f>C23*D23</f>
        <v>1012</v>
      </c>
      <c r="F23">
        <v>100</v>
      </c>
      <c r="G23" t="str">
        <v>아이씨뱅큐 · 아이씨뱅큐 (LCSC 해외 재고)</v>
      </c>
      <c r="H23" t="str">
        <v>건반 꼬리 숨은 빔의 너트 홈(폭 5.6)에 옆에서 밀어 넣어 캡스턴 나사(M3×6)를 받는다. 건반마다 1개라 모듈 12 × 7 + 끝 부속 4 = 88개다. 여기에 끝 부속 ↔ 스피커 브래킷 연결 4개(v3.2 기준, 왼쪽·오른쪽 끝 부속에 가로 너트 2개씩)를 더해 92개를 쓴다.</v>
      </c>
      <c r="I23" t="str">
        <v>규격: M3 육각너트 (건반 빔 너트 홈 폭 5.6에 들어가는 표준 크기) / 재질: 강철 (LCSC 표기 'Hex Nut M3 Steel') / 품번: XHHD, LCSC C133377 / 무게: 개당 약 0.4 g (계산값) / 가격: 11원 (VAT 포함), 아이씨뱅큐 합배송</v>
      </c>
      <c r="J23" t="str">
        <v>https://www.icbanq.com/P015976209</v>
      </c>
    </row>
    <row r="24">
      <c r="A24" t="str">
        <v>건반 액션</v>
      </c>
      <c r="B24" t="str">
        <v>캡스턴 나사 M3×6 버튼헤드 SUS304</v>
      </c>
      <c r="C24">
        <v>100</v>
      </c>
      <c r="D24" s="1">
        <v>11</v>
      </c>
      <c r="E24" s="1">
        <f>C24*D24</f>
        <v>1100</v>
      </c>
      <c r="F24">
        <v>100</v>
      </c>
      <c r="G24" t="str">
        <v>아이씨뱅큐</v>
      </c>
      <c r="H24" t="str">
        <v>건반 꼬리 숨은 빔의 캡스턴이다. 머리가 레버 밑 펠트 띠를 들어 올린다. 1/8회전(0.0625 mm)씩 돌려 높이를 맞춘다. 모듈 12 × 7 + 끝 부속 4 = 88개를 쓰고, 건반을 넣기 전에 벤치 지그와 가짜 레버(T2)에서 맞춘다.</v>
      </c>
      <c r="I24" t="str">
        <v>규격: ISO 7380 M3×6 (M3-0.5, 나사 길이 6 mm) / 재질: SUS304 스테인리스 / 머리: 둥근 버튼 Ø5.7 × 1.65, 육각 구멍 2.0 mm (ISO 7380 표준값) / 제조: AOFENG / 조정: 1/8회전 = 0.0625 mm = DW 백 +0.20 / 흑 +0.11 g / 가격: 11원 (VAT 포함), 아이씨뱅큐 해외 재고 약 1주</v>
      </c>
      <c r="J24" t="str">
        <v>https://www.icbanq.com/P015973844</v>
      </c>
    </row>
    <row r="25">
      <c r="A25" t="str">
        <v>건반 액션</v>
      </c>
      <c r="B25" t="str">
        <v>대원 0.5T 접착 펠트지 30×45 (H-20 검정)</v>
      </c>
      <c r="C25">
        <v>1</v>
      </c>
      <c r="D25" s="1">
        <v>1500</v>
      </c>
      <c r="E25" s="1">
        <f>C25*D25</f>
        <v>1500</v>
      </c>
      <c r="F25">
        <v>1</v>
      </c>
      <c r="G25" t="str">
        <v>11번가 · 상우아트</v>
      </c>
      <c r="H25" t="str">
        <v>건반 104개(88 + 예비 16)의 스냅 노치 안쪽과 밸런스 핀 홈 양쪽 벽에 붙인다. 프레임 가이드 탭 88개의 양옆에도 붙이는 0.5T 부싱 천이다. 1.5T 쉼 펠트도 메리노 1T 위에 이 천을 한 겹 붙여 만든다. 한 장(1,350 cm²) 가운데 약 270 cm²만 쓴다(추정).</v>
      </c>
      <c r="I25" t="str">
        <v>제품: 대원 얇은 칼라펠트지 H, 색 H-20 검정 / 두께: 0.5 mm (접착층 포함 여부 표기 없음) / 크기: 300 × 450 mm / 뒷면: 접착형 / 재질: 폴리에스터 공예 펠트 (양모 아님) / 설계 자리: 노치 R2.55 → 유효 R2.05, 핀 홈 3.2 → 2.2, 탭 옆 놀음 ±0.05 / 가격: 1,500원/장 (11번가 상우아트)</v>
      </c>
      <c r="J25" t="str">
        <v>https://www.11st.co.kr/products/8517880969</v>
      </c>
    </row>
    <row r="26">
      <c r="A26" t="str">
        <v>건반 액션</v>
      </c>
      <c r="B26" t="str">
        <v>텅스텐 퍼티 22 g (낚시 싱커)</v>
      </c>
      <c r="C26">
        <v>1</v>
      </c>
      <c r="D26" s="1">
        <v>8750</v>
      </c>
      <c r="E26" s="1">
        <f>C26*D26</f>
        <v>8750</v>
      </c>
      <c r="F26">
        <v>1</v>
      </c>
      <c r="G26" t="str">
        <v>11번가 · 골드그로브</v>
      </c>
      <c r="H26" t="str">
        <v>조립 뒤 누르는 힘(DW)이 47~55 g을 벗어난 건반만 맞춘다. 가림판을 들고 레버 강철 앞 윗면(패드 앞)에 붙이면 DW가 오른다(1 g = 백 +1.23 / 흑 +1.14 g). 건반 앞에 붙이면 내려간다(1 g = −1.06 / −1.09 g).</v>
      </c>
      <c r="I26" t="str">
        <v>재질: 텅스텐 퍼티 (약 10 g/cm³, v3 자료) / 무게: 22 g / 용도: 낚시용 소프트 싱커 / 효과 (강철 앞): 1 g = DW 백 +1.23 / 흑 +1.14 g / 효과 (건반 앞): 1 g = DW 백 −1.06 / 흑 −1.09 g / 판매: 11번가 골드그로브 8,750원</v>
      </c>
      <c r="J26" t="str">
        <v>https://www.11st.co.kr/products/9579455646</v>
      </c>
    </row>
    <row r="27">
      <c r="A27" t="str">
        <v>건반 액션</v>
      </c>
      <c r="B27" t="str">
        <v>SUS304 환봉 Ø4×1 m — 건반 봉</v>
      </c>
      <c r="C27">
        <v>2</v>
      </c>
      <c r="D27" s="1">
        <v>1500</v>
      </c>
      <c r="E27" s="1">
        <f>C27*D27</f>
        <v>3000</v>
      </c>
      <c r="F27">
        <v>2</v>
      </c>
      <c r="G27" t="str">
        <v>11번가 · onezaze</v>
      </c>
      <c r="H27" t="str">
        <v>건반 시소의 축이다. 밸런스 레일의 봉 받침 11곳(y141, z21.5)에 놓고, 건반 노치가 위에서 스냅으로 문다. 모듈마다 161.4 mm 1토막 × 7 + 끝 부속 2토막(약 45·21) = 9토막을 쓰고, 1토막은 예비로 보관함에 둔다.</v>
      </c>
      <c r="I27" t="str">
        <v>재질: SUS304 스테인리스 환봉 / 지름: Ø4 (설계 h9 = 3.970~4.000) / 길이: 1000 mm / 자를 길이: 모듈 161.4 ± 0.2 × 7 (+예비 1), 끝 부속 약 45 / 약 21 / 토막 무게: 161.4 mm당 16.08 g / 판매: 11번가 onezaze 1,500원, 배송비 3,500원</v>
      </c>
      <c r="J27" t="str">
        <v>https://www.11st.co.kr/products/1304631510</v>
      </c>
    </row>
    <row r="28">
      <c r="A28" t="str">
        <v>건반 액션</v>
      </c>
      <c r="B28" t="str">
        <v>SUS304 환봉 Ø4×1 m — 레버 봉</v>
      </c>
      <c r="C28">
        <v>2</v>
      </c>
      <c r="D28" s="1">
        <v>1500</v>
      </c>
      <c r="E28" s="1">
        <f>C28*D28</f>
        <v>3000</v>
      </c>
      <c r="F28">
        <v>2</v>
      </c>
      <c r="G28" t="str">
        <v>11번가 · onezaze</v>
      </c>
      <c r="H28" t="str">
        <v>무게 레버 12개가 매달려 도는 축이다(모듈 뒤쪽 y203.25, z33.5). 핀 보스 5개, 레버 허브 12개, 스프링 코일 12개를 꿰고, 이음 쪽 끝을 출력 마개로 막는다(반대쪽은 막힌 벽). 모듈마다 161.4 mm × 7 + 끝 부속 2토막(45.9·22.2) = 9토막을 쓰고, 1토막은 예비로 보관함에 둔다.</v>
      </c>
      <c r="I28" t="str">
        <v>재질: SUS304 스테인리스 환봉 (풀림재 항복 205 MPa로 충분) / 지름: Ø4 (설계 h9 = 3.970~4.000) / 길이: 1000 mm / 자를 길이: 모듈 161.4 ± 0.2 × 7 (+예비 1), 끝 부속 45.9 / 22.2 / 꿰는 것: 핀 보스 5 (Ø3.9 출력 → Ø4.0 드릴), 레버 허브 12, 스프링 코일 12 / 판매: 11번가 onezaze 1,500원, 배송비 3,500원 (건반 봉과 합배송)</v>
      </c>
      <c r="J28" t="str">
        <v>https://www.11st.co.kr/products/1304631510</v>
      </c>
    </row>
    <row r="29">
      <c r="A29" t="str">
        <v>건반 액션</v>
      </c>
      <c r="B29" t="str">
        <v>OHP 필름 A4 0.1 mm 20매 (PET 심용)</v>
      </c>
      <c r="C29">
        <v>1</v>
      </c>
      <c r="D29" s="1">
        <v>2739</v>
      </c>
      <c r="E29" s="1">
        <f>C29*D29</f>
        <v>2739</v>
      </c>
      <c r="F29">
        <v>1</v>
      </c>
      <c r="G29" t="str">
        <v>나비엠알오 · 나비엠알오 (카피어랜드)</v>
      </c>
      <c r="H29" t="str">
        <v>업스톱 패드와 패드 바 쐐기 사이에 끼우는 0.1 mm PET 심이다. 6×12.2로 잘라 조립 10단계와 12장 업스톱 시점 조정에서 건반마다 필요한 만큼 넣고 뺀다(부품표 추정 약 50장). 단계 0 시험 1·6·12·14에서는 얇은 게이지로도 쓴다. 남는 심은 건반 보관함 작은 부품 통에 둔다.</v>
      </c>
      <c r="I29" t="str">
        <v>제품: copierland 레이저프린터용 고투명 OHP 필름 / 두께: 100 mic (0.1 mm, 포장 사진 표기) / 크기·수량: A4 (210 × 297 mm) 20매 / 자를 크기: 6 × 12.2 mm (패드와 같음, D16) / 한 장의 효과: 레버가 0.23° / 0.24° 먼저 닿음 = 건반 앞 0.18 / 0.22 mm (백 / 흑) / 가격: 5,980원, 무료배송 (11번가 핑블샵)</v>
      </c>
      <c r="J29" t="str">
        <v>https://www.navimro.com/g/37021/</v>
      </c>
    </row>
    <row r="30">
      <c r="A30" t="str">
        <v>건반 액션</v>
      </c>
      <c r="B30" t="str">
        <v>크레타칼라 흑연 가루 30 ml</v>
      </c>
      <c r="C30">
        <v>1</v>
      </c>
      <c r="D30" s="1">
        <v>2750</v>
      </c>
      <c r="E30" s="1">
        <f>C30*D30</f>
        <v>2750</v>
      </c>
      <c r="F30">
        <v>1</v>
      </c>
      <c r="G30" t="str">
        <v>11번가 · 비젼몰</v>
      </c>
      <c r="H30" t="str">
        <v>레버 캐리어 88개 밑의 캡스턴 펠트 띠 2T(S14)에서 캡스턴 머리가 닿는 면에 바른다. 붓으로 얇게 바르고 털어 낸다(조립 4단계). 단계 0 시편의 봉 구멍에도 조금 넣는다.</v>
      </c>
      <c r="I30" t="str">
        <v>제품: 크레타칼라(Cretacolor) 흑연 파우더 소 / 용량: 30 ml / 종류: 미술용 흑연 가루 / 바르는 곳: 캡스턴 펠트 띠 2T (y176.5~192.0, 폭 7) / 쓰는 양: 몇 g (펠트 띠 88장에 얇게) / 가격: 2,750원 + 배송 3,000원 (11번가 비젼몰)</v>
      </c>
      <c r="J30" t="str">
        <v>https://www.11st.co.kr/products/1333385437</v>
      </c>
    </row>
    <row r="31">
      <c r="A31" t="str">
        <v>건반 액션</v>
      </c>
      <c r="B31" t="str">
        <v>세메다인 슈퍼X 백색 20 mL (MS 폴리머)</v>
      </c>
      <c r="C31">
        <v>2</v>
      </c>
      <c r="D31" s="1">
        <v>8000</v>
      </c>
      <c r="E31" s="1">
        <f>C31*D31</f>
        <v>16000</v>
      </c>
      <c r="F31">
        <v>2</v>
      </c>
      <c r="G31" t="str">
        <v>11번가 · 주영종합상사</v>
      </c>
      <c r="H31" t="str">
        <v>레버 캐리어에 강철 블록을 붙이는 탄성 접착제다. 강철의 두 19×40 옆면에 얇게(블록당 약 0.2 mL) 바르고 밑에서 스냅으로 끼운 뒤 24시간 굳힌다. 조립 4단계에서 레버 88개에, 단계 0 시험 20에서 캐리어 2개에 쓴다.</v>
      </c>
      <c r="I31" t="str">
        <v>종류: 1액형 습기 경화 MS 폴리머(변성 실리콘) 탄성 접착제 / 제품: 세메다인 슈퍼X 8008 백색 (AX-022) / 용량·색: 20 mL 튜브, 흰색 / 접착층: 한쪽 0.10 mm (캐리어 주머니 9.2 − 강철 9.0) / 설계 값: 전단 탄성 G 약 1 MPa, 겹침 전단 1.5 MPa (가정) / 굳힘: 24시간 (선택기 카드: 24~48시간이면 쓸 수 있는 강도) / 판매: 11번가 주영종합상사 8,000원, 배송비 3,000원</v>
      </c>
      <c r="J31" t="str">
        <v>https://www.11st.co.kr/products/7459325704</v>
      </c>
    </row>
    <row r="32">
      <c r="A32" t="str">
        <v>건반 액션</v>
      </c>
      <c r="B32" t="str">
        <v>메리노 울 펠트 2T 20×30 cm (35 블랙)</v>
      </c>
      <c r="C32">
        <v>1</v>
      </c>
      <c r="D32" s="1">
        <v>13800</v>
      </c>
      <c r="E32" s="1">
        <f>C32*D32</f>
        <v>13800</v>
      </c>
      <c r="F32">
        <v>1</v>
      </c>
      <c r="G32" t="str">
        <v>스튜디오분트</v>
      </c>
      <c r="H32" t="str">
        <v>세 곳에 쓴다. 레버 88개 밑 캡스턴 펠트 띠(폭 7 × y176.5~192.0), 앞 레일의 앞 펠트(백건 줄은 모듈 7개·끝 부속 2개 전체 폭 y1.5~9.0 띠, 흑건은 36개 자리마다 y54.5~59.0 조각; 둘 다 하네나이트 1T 위), 키퍼 훅 88개 밑 펠트(5.2 × 3)이다. 한 장(600 cm²) 가운데 약 220 cm²를 쓴다(r4.5 치수로 다시 셈, 추정).</v>
      </c>
      <c r="I32" t="str">
        <v>제품: 스튜디오분트 100% 메리노양모 70수 펠트지 (상품 4117) / 두께: 2 mm / 크기: 200 × 300 mm / 색: 35 블랙 / 재질: 울 100 % / 쓰는 곳: 캡스턴 띠 S14 · 키퍼 S20 · 앞 펠트 S21·S22 / 가격: 13,800원 (스튜디오분트 배송비 3,000원은 따로 한 줄, 147행)</v>
      </c>
      <c r="J32" t="str">
        <v>https://studiobunt.com/product/detail.html?product_no=4117</v>
      </c>
    </row>
    <row r="33">
      <c r="A33" t="str">
        <v>건반 액션</v>
      </c>
      <c r="B33" t="str">
        <v>메리노 울 펠트 1T 20×30 cm (80 블랙)</v>
      </c>
      <c r="C33">
        <v>1</v>
      </c>
      <c r="D33" s="1">
        <v>6900</v>
      </c>
      <c r="E33" s="1">
        <f>C33*D33</f>
        <v>6900</v>
      </c>
      <c r="F33">
        <v>1</v>
      </c>
      <c r="G33" t="str">
        <v>스튜디오분트</v>
      </c>
      <c r="H33" t="str">
        <v>두 곳에 쓴다. 업스톱 패드 100개(88 + 예비 12)의 강철이 닿는 면 펠트(6×12.2)와, 건반 104개(88 + 예비 16) 꼬리 밑 쉼 펠트 1.5T의 바탕이다. 쉼 펠트는 이 1T 위에 0.5T 천을 한 겹 붙여 2.7×8로 자른다(F·F#는 더 짧게). 한 장(600 cm²) 가운데 약 100 cm²를 쓴다(추정).</v>
      </c>
      <c r="I33" t="str">
        <v>제품: 스튜디오분트 100% 메리노양모 70수 펠트지 (상품 1157) / 두께: 1 mm / 크기: 200 × 300 mm / 색: 80 블랙 / 재질: 울 100 % / 쓰는 곳: 패드 닿는 면 1T (P16·D11), 쉼 펠트 1.5T 바탕 (D10·P28) / 가격: 6,900원</v>
      </c>
      <c r="J33" t="str">
        <v>https://studiobunt.com/product/detail.html?product_no=1157</v>
      </c>
    </row>
    <row r="34">
      <c r="A34" t="str">
        <v>건반 액션</v>
      </c>
      <c r="B34" t="str">
        <v>강철 띠 9T×19×1 m (강철 블록용)</v>
      </c>
      <c r="C34">
        <v>4</v>
      </c>
      <c r="D34" s="1">
        <v>8610</v>
      </c>
      <c r="E34" s="1">
        <f>C34*D34</f>
        <v>34440</v>
      </c>
      <c r="F34">
        <v>4</v>
      </c>
      <c r="G34" t="str">
        <v>올스틸샵</v>
      </c>
      <c r="H34" t="str">
        <v>1 m 띠를 40 mm씩 잘라 강철 블록(9×19×40, 53.7 g)을 만든다. 블록은 레버 캐리어에 밑에서 스냅으로 끼우고 MS 폴리머로 붙이는 무게 추이며, 드러난 윗면이 업스톱 패드에 닿는다. 레버마다 1개로 모듈 12 × 7 + 끝 부속 4 = 88개를 쓴다.</v>
      </c>
      <c r="I34" t="str">
        <v>받는 형태: 9 × 19 × 1000 mm 강철 띠, 1장 1.342 kg / 재질: SS275 (설계서 SS400) / 블록 치수: 9 × 19 × 40 mm, 53.7 g, 모따기 없음 (버만 제거) / 두께 허용: 8.9~9.1 mm만 씀 (캐리어 주머니 9.2) / 자르기: 40 mm × 90번, 쇠톱 약 4시간 (DESIGN 16장) / 가격: 장당 8,610원, 배송비 3,500원 (0~10 kg)</v>
      </c>
      <c r="J34" t="str">
        <v>https://www.allsteelshop.com/product/squareplate/9t</v>
      </c>
    </row>
    <row r="35">
      <c r="A35" t="str">
        <v>건반 액션</v>
      </c>
      <c r="B35" t="str">
        <v>밸런스 핀 Ø2×12 SUS304 (100개)</v>
      </c>
      <c r="C35">
        <v>1</v>
      </c>
      <c r="D35" s="1">
        <v>16600</v>
      </c>
      <c r="E35" s="1">
        <f>C35*D35</f>
        <v>16600</v>
      </c>
      <c r="F35">
        <v>1</v>
      </c>
      <c r="G35" t="str">
        <v>나사코리아 nasakorea.com</v>
      </c>
      <c r="H35" t="str">
        <v>밸런스 레일(y135.3)에 핀 높이 게이지(T3)로 눌러 넣고 꼭대기를 z23.30에 맞춘다. 건반 블록 밑 홈(천 0.5T)이 이 핀을 물어 건반 뒤쪽의 좌우 위치를 잡는다. 모듈 12 × 7 + 끝 부속 4 = 88개를 쓴다. 이 밖에 벤치 지그(T1a) 핀 구멍에 1개, 단계 0 시험 P 쿠폰(C07a, 구멍 5개)에 5개까지 쓴다. 4개는 보관함 작은 부품 통에 둔다.</v>
      </c>
      <c r="I35" t="str">
        <v>규격: ISO 2338 (GB119.1) 평행 핀 Ø2 × 12 / 재질: STS304 스테인리스 / 설치 위치: 밸런스 레일 y135.3, 꼭대기 z23.30 / 합격 높이: GO/NO-GO 게이지로 z23.20~23.40 / 가격: 16,600원 (판매가 100 + 옵션 16,500), 배송비 3,300원</v>
      </c>
      <c r="J35" t="str">
        <v>https://www.nasakorea.com/goods/goods_view.php?goodsNo=6009</v>
      </c>
    </row>
    <row r="36">
      <c r="A36" t="str">
        <v>건반 액션</v>
      </c>
      <c r="B36" t="str">
        <v>미스미 토션스프링 C-UA90R5-3-0.5</v>
      </c>
      <c r="C36">
        <v>100</v>
      </c>
      <c r="D36" s="1">
        <v>310</v>
      </c>
      <c r="E36" s="1">
        <f>C36*D36</f>
        <v>31000</v>
      </c>
      <c r="F36">
        <v>100</v>
      </c>
      <c r="G36" t="str">
        <v>한국미스미</v>
      </c>
      <c r="H36" t="str">
        <v>레버 허브의 스프링 주머니(Ø6.6×3.0)에 넣고 레버 봉에 꿴다. 짧은 다리(8.0)는 허브의 가둠 홈에, 긴 다리(22.3)는 뒷벽 홈에 걸어 레버를 아래로 민다(DW 51.9 g 중 약 11 g). 레버마다 1개로 88개를 쓴다. 단계 0 시험 8에 1개, 시험 13에 3개를 더 쓰고(합 92개), 남는 8개는 보관함 옆 칸에 둔다.</v>
      </c>
      <c r="I36" t="str">
        <v>품번: 한국미스미 경제형 C-UA90R5-3-0.5 / 재질: SUS304-WPB, 선경 0.5 mm / 코일: 안지름 5 (바깥 약 6), 3권 (몸통 3.25권), 오른쪽 감기 / 암: 두 암 90°, 길이 50 / 50 mm로 옴 (상품명 '암 50/50') / 자를 길이: 긴 다리 22.3 (코일 중심→끝, 코일을 떠나는 점에서 22.13), 짧은 다리 8.0 (코일을 떠나는 점에서) / 잘린 뒤: k_t 8.44 N·mm/rad, 자유각 −28.4°, 쉼 4.19 / 바닥 6.03 N·mm / 가격: 100~236개 282원 + VAT = 310원</v>
      </c>
      <c r="J36" t="str">
        <v>https://kr.misumi-ec.com/vona2/detail/110310556289/?HissuCode=C-UA90R5-3-0.5</v>
      </c>
    </row>
    <row r="37">
      <c r="A37" t="str">
        <v>건반 액션</v>
      </c>
      <c r="B37" t="str">
        <v>WAKI PORON 5T 점착 100×100 (PON-02)</v>
      </c>
      <c r="C37">
        <v>1</v>
      </c>
      <c r="D37" s="1">
        <v>3399</v>
      </c>
      <c r="E37" s="1">
        <f>C37*D37</f>
        <v>3399</v>
      </c>
      <c r="F37">
        <v>1</v>
      </c>
      <c r="G37" t="str">
        <v>나비엠알오</v>
      </c>
      <c r="H37" t="str">
        <v>업스톱 패드에 들어가는 폼이다. 6×12.2로 잘라 강철이 닿는 쪽에 펠트 1T를 겹치고 패드 바 쐐기에 붙인다. 모듈마다 12개 × 7 + 끝 부속 4 = 88개에, 예비 12개(건반 보관함 옆 칸)를 더해 100개를 쓴다.</v>
      </c>
      <c r="I37" t="str">
        <v>제품: WAKI PORON 스폰지 점착 PON-02 (나비엠알오 K41576125) / 재질: INOAC PORON 미세셀 우레탄 (등급 표기 없음) / 크기: 100 × 100 × 5 mm / 뒷면: 한 면 아크릴 점착 / 색: 검정 / 설계 요구: 폼 6T, 25 % 압축 0.36 MPa ± 30 %, 패드 실효 e ≤ 0.07 / 납기: 10/12 출하 예정, 해외 직수입·반품 불가 / 가격: 3,399원 (VAT 포함)</v>
      </c>
      <c r="J37" t="str">
        <v>https://www.navimro.com/g/1028764/</v>
      </c>
    </row>
    <row r="38">
      <c r="A38" t="str">
        <v>건반 액션</v>
      </c>
      <c r="B38" t="str">
        <v>WAKI 하네나이트 1T 170×245 (HNT002)</v>
      </c>
      <c r="C38">
        <v>1</v>
      </c>
      <c r="D38" s="1">
        <v>16489</v>
      </c>
      <c r="E38" s="1">
        <f>C38*D38</f>
        <v>16489</v>
      </c>
      <c r="F38">
        <v>1</v>
      </c>
      <c r="G38" t="str">
        <v>나비엠알오</v>
      </c>
      <c r="H38" t="str">
        <v>앞 레일의 앞 펠트 2T 밑에 까는 1T 저반발 층이다(S21·S22). 백건 줄은 모듈 7개·끝 부속 2개마다 전체 폭 띠(y1.5~9.0, 폭 7.5, 합쳐 약 1.2 m)로, 흑건은 36개 자리마다 조각(y54.5~59.0, 폭 4.5 × 약 10.4)으로 잘라 붙인다. 필요한 면적은 약 110 cm²이다(추정).</v>
      </c>
      <c r="I38" t="str">
        <v>제품: WAKI 충격흡수재 하네나이트 HNT002 (나비엠알오 K41587651) / 재질: 저반발 제진 고무 (나비 표기 NBR, 내외고무) / 크기: 170 × 245 × 1 mm / 반발 탄성: 상온 10 % 미만 (제조사 자료) / 색: 검정 / 설계 요구: 저반발 PU 1T, 앞 펠트 실효 e ≤ 0.22 (설계 0.20) / 납기: 10/07 출하 예정, 해외 직수입·반품 불가 / 가격: 16,489원 (VAT 포함)</v>
      </c>
      <c r="J38" t="str">
        <v>https://www.navimro.com/g/1029233/</v>
      </c>
    </row>
    <row r="39">
      <c r="A39" t="str">
        <v>오디오</v>
      </c>
      <c r="B39" t="str">
        <v>1 µF 적층 세라믹 콘덴서 50 V</v>
      </c>
      <c r="C39">
        <v>4</v>
      </c>
      <c r="D39" s="1">
        <v>133</v>
      </c>
      <c r="E39" s="1">
        <f>C39*D39</f>
        <v>532</v>
      </c>
      <c r="F39">
        <v>5</v>
      </c>
      <c r="G39" t="str">
        <v>아이씨뱅큐 · 아이씨뱅큐 (동신전자)</v>
      </c>
      <c r="H39" t="str">
        <v>CU 트레이의 앰프 입력 잭(J702) 기판에서 앰프 입력 앞 저음 차단 필터로 쓴다. 채널마다 2개를 병렬(2 µF)로 신호에 직렬로 넣어 C701·C702(왼쪽), C703·C704(오른쪽) = 4개를 쓴다. 채널마다 1 kΩ(R701·R702, L29 줄)을 앰프 IN G(AGND)로 달아 약 93 Hz 아래를 줄인다.</v>
      </c>
      <c r="I39" t="str">
        <v>용량: 1 µF (몸통 표기 105) / 유전체·정격: X7R, 50 V / 형태: 리드형 적층 세라믹, 극성 없음, 만능기판에 바로 납땜 / 필터: 2 µF 직렬 + 1 kΩ 병렬. 앰프 입력(약 9 kΩ)과 보드 입력 콘덴서까지 넣어 계산하면 fc ≈ 93 Hz (필터만 따로 보면 79.6 Hz) / 판매: 아이씨뱅큐 P014159115 (동신전자)</v>
      </c>
      <c r="J39" t="str">
        <v>https://www.icbanq.com/P014159115</v>
      </c>
    </row>
    <row r="40">
      <c r="A40" t="str">
        <v>오디오</v>
      </c>
      <c r="B40" t="str">
        <v>PJ-313 3.5 mm 스테레오 잭</v>
      </c>
      <c r="C40">
        <v>2</v>
      </c>
      <c r="D40" s="1">
        <v>198</v>
      </c>
      <c r="E40" s="1">
        <f>C40*D40</f>
        <v>396</v>
      </c>
      <c r="F40">
        <v>3</v>
      </c>
      <c r="G40" t="str">
        <v>엘레파츠</v>
      </c>
      <c r="H40" t="str">
        <v>3개 모두 쓴다. ① 왼쪽 끝 부속 볼 앞면의 헤드폰 잭(J701) ② 가운데 유닛 I/O 판의 댐퍼 페달 잭(J501) ③ CU 트레이의 앰프 입력 잭(J702). 너트 없는 PCB형이라 만능기판 자투리에 납땜해서 단다. 자투리는 12×18 기판(i081) 둘째 장의 남는 부분에서 자른다. 5×7 기판 8장은 제어 기판과 페달 보드에 모두 쓰기 때문이다. 헤드폰 잭은 왼쪽 볼의 출력 포켓에 끼운다.</v>
      </c>
      <c r="I40" t="str">
        <v>규격: 3.5 mm 스테레오(TRS) 암잭 / 핀: 5핀 T·TN·R·RN·S (팁·링 노멀 접점) / 실장: 스루홀 PCB형, 너트 없음(패널형 아님) / 제조: BSUN PJ-313 / 판매: 엘레파츠 67811</v>
      </c>
      <c r="J40" t="str">
        <v>https://www.eleparts.co.kr/goods/view?no=67811</v>
      </c>
    </row>
    <row r="41">
      <c r="A41" t="str">
        <v>오디오</v>
      </c>
      <c r="B41" t="str">
        <v>XT30U-M 수 커넥터 (선 10 cm)</v>
      </c>
      <c r="C41">
        <v>2</v>
      </c>
      <c r="D41" s="1">
        <v>1760</v>
      </c>
      <c r="E41" s="1">
        <f>C41*D41</f>
        <v>3520</v>
      </c>
      <c r="F41">
        <v>2</v>
      </c>
      <c r="G41" t="str">
        <v>엘레파츠</v>
      </c>
      <c r="H41" t="str">
        <v>앰프 쪽 스피커선 커넥터다. 앰프 출력에서 뒷바 아래 케이블 통로를 지나 양 끝으로 나온 스피커선(C13, 약 0.6 m) 끝에 1개씩 납땜한다(왼쪽 X703, 오른쪽 X705). 설치할 때 통로 안 XT30 받침(스피커 파트 쪽)에 끼워 둔 암(XT30U-F)에 꽂는다.</v>
      </c>
      <c r="I41" t="str">
        <v>모델: AMASS XT30U-M (수) / 리드: 18 AWG 실리콘 10 cm, 빨강·검정 / 정격: 15 A (순간 30 A). 스피커 전류는 약 1.6 A rms / 크기: 앞면 약 10.2 × 5.2 mm, 길이 13.7 mm, 핀 간격 5.0 mm / 극성: 납작한 면 = +, 모따기 면 = − (KiCad 패드 1 = −, 2 = +) / 판매: 엘레파츠 12779720</v>
      </c>
      <c r="J41" t="str">
        <v>https://www.eleparts.co.kr/goods/view?no=12779720</v>
      </c>
    </row>
    <row r="42">
      <c r="A42" t="str">
        <v>오디오</v>
      </c>
      <c r="B42" t="str">
        <v>XT30U-F 암 커넥터 (선 10 cm)</v>
      </c>
      <c r="C42">
        <v>2</v>
      </c>
      <c r="D42" s="1">
        <v>1760</v>
      </c>
      <c r="E42" s="1">
        <f>C42*D42</f>
        <v>3520</v>
      </c>
      <c r="F42">
        <v>2</v>
      </c>
      <c r="G42" t="str">
        <v>엘레파츠</v>
      </c>
      <c r="H42" t="str">
        <v>스피커 쪽 커넥터다. 좌우 스피커 파트 안에서 유닛 단자에 이은 스피커선(C13, 약 0.3 m)을 앞판 아래 선 구멍으로 빼서 끝에 1개씩 납땜한다(왼쪽 X704, 오른쪽 X706). 이 커넥터를 케이블 통로 안의 출력 XT30 받침(스피커 파트 쪽)에 끼워 두고, 설치할 때 앰프 쪽 수(XT30U-M)를 꽂는다.</v>
      </c>
      <c r="I42" t="str">
        <v>모델: AMASS XT30U-F (암) / 리드: 18 AWG 실리콘 10 cm, 빨강·검정 / 정격: 15 A (순간 30 A). 스피커 전류는 약 1.6 A rms / 크기: 앞면 약 10.2 × 5.2 mm, 길이 12.4 mm, 핀 간격 5.0 mm / 극성: 납작한 면 = +, 모따기 면 = − (KiCad 패드 1 = −, 2 = +) / 판매: 엘레파츠 12779721</v>
      </c>
      <c r="J42" t="str">
        <v>https://www.eleparts.co.kr/goods/view?no=12779721</v>
      </c>
    </row>
    <row r="43">
      <c r="A43" t="str">
        <v>오디오</v>
      </c>
      <c r="B43" t="str">
        <v>스피커선 16 AWG 7 m (프리즘)</v>
      </c>
      <c r="C43">
        <v>1</v>
      </c>
      <c r="D43" s="1">
        <v>14300</v>
      </c>
      <c r="E43" s="1">
        <f>C43*D43</f>
        <v>14300</v>
      </c>
      <c r="F43">
        <v>1</v>
      </c>
      <c r="G43" t="str">
        <v>엘레파츠</v>
      </c>
      <c r="H43" t="str">
        <v>세 곳에 잘라 쓴다. 앰프 → 통로 → XT30 수 좌우 각 약 0.6 m(W703·W705), 스피커 파트 안 유닛 → XT30 암 각 약 0.3 m(W704·W706), 20 V 전원선 약 1 m(PD 트리거 → 퓨즈 → 스위치 → 앰프·강압 모듈, W602). 모두 약 2.8 m를 쓴다.</v>
      </c>
      <c r="I43" t="str">
        <v>규격: 16 AWG (1.31 mm²), 50가닥, 2심 / 길이: 7 m / 색: 검정 겉피복, 속선 주황·흰색(판매 사진 기준) / 모델: 케이블스토어 프리즘 PRS-50B07 / 판매: 엘레파츠 18388615</v>
      </c>
      <c r="J43" t="str">
        <v>https://www.eleparts.co.kr/goods/view?no=18388615</v>
      </c>
    </row>
    <row r="44">
      <c r="A44" t="str">
        <v>오디오</v>
      </c>
      <c r="B44" t="str">
        <v>3.5 mm 스테레오 AUX 선 1.5 m</v>
      </c>
      <c r="C44">
        <v>2</v>
      </c>
      <c r="D44" s="1">
        <v>1710</v>
      </c>
      <c r="E44" s="1">
        <f>C44*D44</f>
        <v>3420</v>
      </c>
      <c r="F44">
        <v>2</v>
      </c>
      <c r="G44" t="str">
        <v>엘레파츠</v>
      </c>
      <c r="H44" t="str">
        <v>2가닥을 쓴다. 선 ①(W701)은 CU의 동글(L51) → 왼쪽 볼 헤드폰 잭(J701), 선 ②(W702)는 헤드폰 잭 노멀 접점 → CU 트레이 앰프 입력 잭(J702)이다. 둘 다 끝 부속 쪽 플러그를 잘라 잭에 납땜하고 CU 쪽 플러그만 남긴다(각 약 0.7 m 사용).</v>
      </c>
      <c r="I44" t="str">
        <v>커넥터: 3.5 mm 3극(TRS) 수 ↔ 수 / 길이: 1.5 m / 모델: Coms AV0176 / 배선: 팁 = L, 링 = R, 슬리브 = AGND / 판매: 엘레파츠 2925673</v>
      </c>
      <c r="J44" t="str">
        <v>https://www.eleparts.co.kr/goods/view?no=2925673</v>
      </c>
    </row>
    <row r="45">
      <c r="A45" t="str">
        <v>오디오</v>
      </c>
      <c r="B45" t="str">
        <v>삼미 CW-100B25 4인치 스피커 8 Ω</v>
      </c>
      <c r="C45">
        <v>2</v>
      </c>
      <c r="D45" s="1">
        <v>9600</v>
      </c>
      <c r="E45" s="1">
        <f>C45*D45</f>
        <v>19200</v>
      </c>
      <c r="F45">
        <v>2</v>
      </c>
      <c r="G45" t="str">
        <v>11번가 · 세운상가새한음향</v>
      </c>
      <c r="H45" t="str">
        <v>좌우 스피커 파트(뒷바 양 끝, 오꾸메 밀폐 상자 내부 5.05 L)의 PETG 앞판 컷아웃(Ø94)에 1개씩 = 2개. 연주자 쪽을 향하게 EVA 가스켓(MEV1 3T 자투리)을 대고 직결피스 16 mm(L49) 4개씩으로 조인다. 선은 앞판 아래 선 구멍(본드로 막음)으로 빼서 XT30 암(L61)에 잇는다.</v>
      </c>
      <c r="I45" t="str">
        <v>형식: 4인치 풀레인지, 8 Ω (Re 6.2 Ω) / 입력: 정격 25 W / 최대 50 W / 감도: 86 dB/1W/1m(판매처) · 89±2 dB(검사성적서) / 크기: 프레임 105 × 105 mm, 깊이 57 + 플랜지 4 mm, 컷아웃 약 Ø94 / 장착: 4-Ø4.8×6.8 장공 (PCD Ø115) / 무게: 0.74 kg (자석 280 g) / Fs: 128 Hz(판매처) / 90±18 Hz(검사성적서) — 자료가 다름</v>
      </c>
      <c r="J45" t="str">
        <v>https://www.11st.co.kr/products/1565354988</v>
      </c>
    </row>
    <row r="46">
      <c r="A46" t="str">
        <v>오디오</v>
      </c>
      <c r="B46" t="str">
        <v>흡음솜 300 g (할로우화이버)</v>
      </c>
      <c r="C46">
        <v>1</v>
      </c>
      <c r="D46" s="1">
        <v>2700</v>
      </c>
      <c r="E46" s="1">
        <f>C46*D46</f>
        <v>2700</v>
      </c>
      <c r="F46">
        <v>1</v>
      </c>
      <c r="G46" t="str">
        <v>11번가 · 두유레디</v>
      </c>
      <c r="H46" t="str">
        <v>좌우 스피커 상자(밀폐, 내부 5.05 L) 안의 흡음재다. 상자당 40~60 g을 뒤판·옆판 쪽에 느슨하게 넣는다.</v>
      </c>
      <c r="I46" t="str">
        <v>소재: 100% 국내산 할로우화이버(폴리에스터), 재생솜 아님 / 용량: 300 g / 사용량: 상자당 40~60 g (두 상자 약 80~120 g) / 안전: EU RoHS 유해물질 시험성적서(FITI) / 판매: 11번가 두유레디</v>
      </c>
      <c r="J46" t="str">
        <v>https://www.11st.co.kr/products/2325598213</v>
      </c>
    </row>
    <row r="47">
      <c r="A47" t="str">
        <v>오디오</v>
      </c>
      <c r="B47" t="str">
        <v>Apple USB-C 헤드폰 어댑터</v>
      </c>
      <c r="C47">
        <v>1</v>
      </c>
      <c r="D47" s="1">
        <v>14900</v>
      </c>
      <c r="E47" s="1">
        <f>C47*D47</f>
        <v>14900</v>
      </c>
      <c r="F47">
        <v>1</v>
      </c>
      <c r="G47" t="str">
        <v>Apple Store 온라인 · Apple</v>
      </c>
      <c r="H47" t="str">
        <v>CU 칸에서 젠더(L52)로 Pi 5 USB-A 포트에 바로 꽂는 USB 사운드 장치(DAC + 헤드폰 앰프)다. FluidSynth 소리를 아날로그로 바꿔 선 ①(C14)로 왼쪽 볼 헤드폰 잭에 보낸다. 헤드폰을 안 꽂으면 노멀 접점을 거쳐 앰프로 간다.</v>
      </c>
      <c r="I47" t="str">
        <v>모델: Apple MW2Q3KH/A (USB-C → 3.5 mm) / 형식: USB 오디오 클래스 2.0 DAC + 헤드폰 앰프, 드라이버 불필요, 리눅스에서 48 kHz만 지원 / 측정(외부 자료): SNR 113 dB, SINAD 98 dB, 출력 임피던스 약 0.3~0.9 Ω / 출력: 미국판 A2049 약 1.0 Vrms, 유럽판 A2155 약 0.5 Vrms. 한국판은 확인 못 해 0.5~1 Vrms로 설계 / 지연: USB 오디오가 1~3 ms를 더함 (키→소리 계산 8~10 ms, 한계 10 ms) / 판매: Apple Store 온라인, 무료 배송</v>
      </c>
      <c r="J47" t="str">
        <v>https://www.apple.com/kr/shop/product/mw2q3kh/a</v>
      </c>
    </row>
    <row r="48">
      <c r="A48" t="str">
        <v>본체·결합</v>
      </c>
      <c r="B48" t="str">
        <v>V-tech 순간접착제 5 g (VT-041)</v>
      </c>
      <c r="C48">
        <v>1</v>
      </c>
      <c r="D48" s="1">
        <v>1100</v>
      </c>
      <c r="E48" s="1">
        <f>C48*D48</f>
        <v>1100</v>
      </c>
      <c r="F48">
        <v>1</v>
      </c>
      <c r="G48" t="str">
        <v>아이씨뱅큐 · 아이씨뱅큐 (크레텍)</v>
      </c>
      <c r="H48" t="str">
        <v>건반 밑 센서 자석(Ø5×2) 89개(건반 88 + 페달 1)를 포켓(Ø5.2)에 눌러 넣은 뒤 한 방울씩 떨어뜨려 고정한다. 가운데 유닛 뚜껑 자석(Ø8×3) 12개도 이것으로 Ø8.2 포켓에 붙인다. 단계 0 시험 키트(C01 봉·시험 레버의 강철 고정 등)에도 조금 쓴다.</v>
      </c>
      <c r="I48" t="str">
        <v>제품: V-tech 강력 순간접착제 VT-041 (크레텍 814-2010) / 용량: 5 g / 성분·점도: 판매 페이지에 표기 없음 / 대신한 것: 록타이트 401 20 g (C18, 절감안 ME8) / 판매처·가격: 아이씨뱅큐(크레텍), 1,100원</v>
      </c>
      <c r="J48" t="str">
        <v>https://www.icbanq.com/P015309984</v>
      </c>
    </row>
    <row r="49">
      <c r="A49" t="str">
        <v>본체·결합</v>
      </c>
      <c r="B49" t="str">
        <v>화성고무 피스고무발 28×5 (RUB-E2)</v>
      </c>
      <c r="C49">
        <v>20</v>
      </c>
      <c r="D49" s="1">
        <v>583</v>
      </c>
      <c r="E49" s="1">
        <f>C49*D49</f>
        <v>11660</v>
      </c>
      <c r="F49">
        <v>20</v>
      </c>
      <c r="G49" t="str">
        <v>엘레파츠</v>
      </c>
      <c r="H49" t="str">
        <v>왼쪽·오른쪽 스피커 파트 밑에 4개씩, 가운데 유닛 밑에 6개 = 14개를 25 mm 직결피스로 단다. 출력 받침 4 mm와 함께 뒷바를 22 mm 띄워, 그 아래 앞쪽을 USB 케이블 통로로 쓴다. 본체와 스피커의 진동도 떼어 놓는다.</v>
      </c>
      <c r="I49" t="str">
        <v>제조·모델: 화성고무 RUB-E2 / 크기: 외경 28 mm, 나사 구멍 약 Ø5 (판매처 표기 '28x5') / 높이: 약 18~20 mm 원뿔대 (사진과 다른 판매처 표기 D28×H18로 본 값) / 고정: 직결피스 25 mm(L49) + M4 와셔(L36) / 주문 단위: 최소 20개 / 가격: 583원/개 (엘레파츠)</v>
      </c>
      <c r="J49" t="str">
        <v>https://www.eleparts.co.kr/goods/view?no=16628292</v>
      </c>
    </row>
    <row r="50">
      <c r="A50" t="str">
        <v>본체·결합</v>
      </c>
      <c r="B50" t="str">
        <v>스텐 렌치볼트 M2.5 × 6 (Pi 고정)</v>
      </c>
      <c r="C50">
        <v>4</v>
      </c>
      <c r="D50" s="1">
        <v>200</v>
      </c>
      <c r="E50" s="1">
        <f>C50*D50</f>
        <v>800</v>
      </c>
      <c r="F50">
        <v>6</v>
      </c>
      <c r="G50" t="str">
        <v>11번가 · 굿나잇몰</v>
      </c>
      <c r="H50" t="str">
        <v>가운데 유닛 CU 칸의 출력 CU 트레이 보스 4개에 Raspberry Pi 5를 바로 조인다. 4개 사용.</v>
      </c>
      <c r="I50" t="str">
        <v>규격: M2.5 × 6 mm / 재질: SUS304 / 머리: 유두(소켓 캡), 2 mm 육각 렌치 / 체결: CU 트레이 보스 Ø2.2 탭 구멍, 기판 1.6 mm를 지나 약 4 mm 물림 / 판매처·가격: 11번가 굿나잇몰, 200원/개</v>
      </c>
      <c r="J50" t="str">
        <v>https://www.11st.co.kr/products/4236198413</v>
      </c>
    </row>
    <row r="51">
      <c r="A51" t="str">
        <v>본체·결합</v>
      </c>
      <c r="B51" t="str">
        <v>스텐 직결피스 8호 13 mm (뒷바)</v>
      </c>
      <c r="C51">
        <v>36</v>
      </c>
      <c r="D51" s="1">
        <v>40</v>
      </c>
      <c r="E51" s="1">
        <f>C51*D51</f>
        <v>1440</v>
      </c>
      <c r="F51">
        <v>40</v>
      </c>
      <c r="G51" t="str">
        <v>11번가 · 굿나잇몰</v>
      </c>
      <c r="H51" t="str">
        <v>뒷바 합판 면에 출력 부품을 고정한다. 도브테일 블록 4개 × 4, CU 트레이 4, I/O 판 4, 보조배터리 받침 4, 콤 받침(보관함) 4, XT30 받침 4 = 36개 사용.</v>
      </c>
      <c r="I51" t="str">
        <v>종류: 스텐 둥근머리 직결피스 (끝이 드릴 모양) / 굵기: 8호, Ø4.2 / 길이: 13 mm / 구멍: 출력 부품 관통 구멍 Ø4.5 / 판매처·가격: 11번가 굿나잇몰, 40원/개</v>
      </c>
      <c r="J51" t="str">
        <v>https://www.11st.co.kr/products/4353471537</v>
      </c>
    </row>
    <row r="52">
      <c r="A52" t="str">
        <v>본체·결합</v>
      </c>
      <c r="B52" t="str">
        <v>스텐 직결피스 8호 16 mm (스피커 유닛)</v>
      </c>
      <c r="C52">
        <v>8</v>
      </c>
      <c r="D52" s="1">
        <v>50</v>
      </c>
      <c r="E52" s="1">
        <f>C52*D52</f>
        <v>400</v>
      </c>
      <c r="F52">
        <v>8</v>
      </c>
      <c r="G52" t="str">
        <v>11번가 · 굿나잇몰</v>
      </c>
      <c r="H52" t="str">
        <v>스피커 유닛 CW-100B25를 PETG 출력 앞판(배플)에 고정한다. 유닛마다 4개 × 2 = 8개.</v>
      </c>
      <c r="I52" t="str">
        <v>종류: 스텐 둥근머리 직결피스 8호 (Ø4.2) / 길이: 16 mm / 물림: 16 − 유닛 플랜지 4 − EVA 가스켓 3 = 약 9 mm / 구멍: 유닛 장공 Ø4.8, PETG 앞판 파일럿 Ø3.4 / 판매처·가격: 11번가 굿나잇몰, 50원/개</v>
      </c>
      <c r="J52" t="str">
        <v>https://www.11st.co.kr/products/4353471537</v>
      </c>
    </row>
    <row r="53">
      <c r="A53" t="str">
        <v>본체·결합</v>
      </c>
      <c r="B53" t="str">
        <v>스텐 직결피스 8호 19 mm (그릴)</v>
      </c>
      <c r="C53">
        <v>8</v>
      </c>
      <c r="D53" s="1">
        <v>50</v>
      </c>
      <c r="E53" s="1">
        <f>C53*D53</f>
        <v>400</v>
      </c>
      <c r="F53">
        <v>8</v>
      </c>
      <c r="G53" t="str">
        <v>11번가 · 굿나잇몰</v>
      </c>
      <c r="H53" t="str">
        <v>PETG 육각 그릴을 스페이서 링(10 mm)에 통과시켜 스피커 앞판에 고정한다. 그릴마다 4곳 × 2 = 8개.</v>
      </c>
      <c r="I53" t="str">
        <v>종류: 스텐 둥근머리 직결피스 8호 (Ø4.2) / 길이: 19 mm / 체결: 그릴 스페이서 링 10 mm를 지나 PETG 앞판에 박힘 / 판매처·가격: 11번가 굿나잇몰, 50원/개</v>
      </c>
      <c r="J53" t="str">
        <v>https://www.11st.co.kr/products/4353471537</v>
      </c>
    </row>
    <row r="54">
      <c r="A54" t="str">
        <v>본체·결합</v>
      </c>
      <c r="B54" t="str">
        <v>스텐 직결피스 8호 25 mm (고무발)</v>
      </c>
      <c r="C54">
        <v>14</v>
      </c>
      <c r="D54" s="1">
        <v>60</v>
      </c>
      <c r="E54" s="1">
        <f>C54*D54</f>
        <v>840</v>
      </c>
      <c r="F54">
        <v>14</v>
      </c>
      <c r="G54" t="str">
        <v>11번가 · 굿나잇몰</v>
      </c>
      <c r="H54" t="str">
        <v>고무발 14개(스피커 파트 4 × 2 + 가운데 유닛 6)를 출력 받침 4 mm와 함께 합판 바닥에 고정한다. 머리 밑에 M4 와셔를 끼운다. 14개 사용.</v>
      </c>
      <c r="I54" t="str">
        <v>종류: 스텐 둥근머리 직결피스 8호 (Ø4.2) / 길이: 25 mm / 체결: 고무발 구멍 약 Ø5 + M4 와셔(L36) / 판매처·가격: 11번가 굿나잇몰, 60원/개</v>
      </c>
      <c r="J54" t="str">
        <v>https://www.11st.co.kr/products/4353471537</v>
      </c>
    </row>
    <row r="55">
      <c r="A55" t="str">
        <v>본체·결합</v>
      </c>
      <c r="B55" t="str">
        <v>오공 205 목공본드 800 g</v>
      </c>
      <c r="C55">
        <v>1</v>
      </c>
      <c r="D55" s="1">
        <v>3949</v>
      </c>
      <c r="E55" s="1">
        <f>C55*D55</f>
        <v>3949</v>
      </c>
      <c r="F55">
        <v>1</v>
      </c>
      <c r="G55" t="str">
        <v>나비엠알오 · 나비엠알오 (오공)</v>
      </c>
      <c r="H55" t="str">
        <v>스피커 상자 2개(합판 10장)와 가운데 유닛(합판 11장)을 붙인다. 출력 앞판 둘레도 이것으로 밀봉한다. 드릴 없이 본드로만 붙이고 마스킹테이프로 눌러 굳힌다.</v>
      </c>
      <c r="I55" t="str">
        <v>제품: 오공 205 목공용 본드 / 용량: 800 g / 종류: 초산비닐 수지 에멀전 (흰색 목공본드) / 옵션: '오공 205본드 800g' (201은 다른 제품) / 가격: 2,840원 + 배송 2,500원 (11번가)</v>
      </c>
      <c r="J55" t="str">
        <v>https://www.navimro.com/g/395062/</v>
      </c>
    </row>
    <row r="56">
      <c r="A56" t="str">
        <v>본체·결합</v>
      </c>
      <c r="B56" t="str">
        <v>스텐 렌치볼트 M3 × 10 (센서 바·CU)</v>
      </c>
      <c r="C56">
        <v>36</v>
      </c>
      <c r="D56" s="1">
        <v>60</v>
      </c>
      <c r="E56" s="1">
        <f>C56*D56</f>
        <v>2160</v>
      </c>
      <c r="F56">
        <v>50</v>
      </c>
      <c r="G56" t="str">
        <v>11번가 · 굿나잇몰</v>
      </c>
      <c r="H56" t="str">
        <v>센서 바·센서 기판을 왼쪽 받침 기둥에 고정한다: 모듈 7개 × 2 + 끝 부속 2개 × 2 = 18개. CU 트레이의 앰프 4·강압 모듈 4·앰프 입력 잭 기판 2 = 10개, 토글 래치 2개 × 4 = 8개. 합계 36개. 구매 목록 글은 PD 트리거 2·퓨즈 홀더 2를 더해 40개로 셌다.</v>
      </c>
      <c r="I56" t="str">
        <v>규격: M3 × 10 mm / 재질: SUS304 / 머리: 유두 렌치볼트(육각 구멍), 2.5 mm 렌치 / 체결: 출력 구멍 Ø2.7~2.8에 자가 탭 / 센서 바 자리: (3.0, 61.9)·(3.0, 74.6) / 판매처·가격: 11번가 굿나잇몰, 60원/개</v>
      </c>
      <c r="J56" t="str">
        <v>https://www.11st.co.kr/products/4236198413</v>
      </c>
    </row>
    <row r="57">
      <c r="A57" t="str">
        <v>본체·결합</v>
      </c>
      <c r="B57" t="str">
        <v>스텐 렌치볼트 M3 × 6 (제어 기판)</v>
      </c>
      <c r="C57">
        <v>16</v>
      </c>
      <c r="D57" s="1">
        <v>40</v>
      </c>
      <c r="E57" s="1">
        <f>C57*D57</f>
        <v>640</v>
      </c>
      <c r="F57">
        <v>20</v>
      </c>
      <c r="G57" t="str">
        <v>11번가 · 굿나잇몰</v>
      </c>
      <c r="H57" t="str">
        <v>모듈마다 제어 기판(RP2040-Zero·먹스)을 프레임의 매단 보스에 밑에서 2개로 조인다: 7 × 2 = 14개. 나머지 두 구석은 보스의 위치 핀이 잡는다. v3.2 기준으로 CU 트레이의 페달 보드(PED)도 같은 방식으로 2개를 쓴다.</v>
      </c>
      <c r="I57" t="str">
        <v>규격: M3 × 6 mm / 재질: SUS / 머리: DESIGN.md: ISO 7380 Ø5.7 × 1.65 (DIN 912 Ø5.5 × 3.0도 들어감) / 체결: 보스 Ø2.5 막힌 구멍에 탭, 기판 1.6 + 보스 4.4 물림 / 위치: (50.0, 149.0)·(114.5, 192.5), 밑에서 조임 / 판매처·가격: 11번가 굿나잇몰, 40원/개</v>
      </c>
      <c r="J57" t="str">
        <v>https://www.11st.co.kr/products/4236198413</v>
      </c>
    </row>
    <row r="58">
      <c r="A58" t="str">
        <v>본체·결합</v>
      </c>
      <c r="B58" t="str">
        <v>스텐 평와셔 M4 (외경 9 × 0.5T)</v>
      </c>
      <c r="C58">
        <v>14</v>
      </c>
      <c r="D58" s="1">
        <v>10</v>
      </c>
      <c r="E58" s="1">
        <f>C58*D58</f>
        <v>140</v>
      </c>
      <c r="F58">
        <v>20</v>
      </c>
      <c r="G58" t="str">
        <v>11번가 · 굿나잇몰</v>
      </c>
      <c r="H58" t="str">
        <v>고무발 14개를 고정하는 25 mm 직결피스 머리 밑에 1개씩 끼운다. 14개 사용.</v>
      </c>
      <c r="I58" t="str">
        <v>규격: M4용 평와셔 / 치수: 내경 약 4.3 × 외경 9 × 두께 0.5 mm / 재질: 스테인리스 / 판매처·가격: 11번가 굿나잇몰, 10원/개</v>
      </c>
      <c r="J58" t="str">
        <v>https://www.11st.co.kr/products/4236198413</v>
      </c>
    </row>
    <row r="59">
      <c r="A59" t="str">
        <v>본체·결합</v>
      </c>
      <c r="B59" t="str">
        <v>EVA 고밀도 폼 3T 330×490 검정</v>
      </c>
      <c r="C59">
        <v>3</v>
      </c>
      <c r="D59" s="1">
        <v>2100</v>
      </c>
      <c r="E59" s="1">
        <f>C59*D59</f>
        <v>6300</v>
      </c>
      <c r="F59">
        <v>3</v>
      </c>
      <c r="G59" t="str">
        <v>11번가 · 상우아트</v>
      </c>
      <c r="H59" t="str">
        <v>건반 모듈 7개와 끝 부속 2개 밑면 전체에 한 장씩 붙이는 3 mm 바닥 층이다(모듈 조각 163.5 × 211, 끝 부속 63 × 211·39.5 × 211). 남는 조각으로 스피커 유닛 가스켓 2개와 가운데 유닛 ↔ 스피커 파트 맞닿는 면의 띠를 만든다.</v>
      </c>
      <c r="I59" t="str">
        <v>제품: 대원 우드보드 EVA 고밀도 칼라스펀지 3T / 색: E-210 검정 / 크기: 330 × 490 × 3 mm (판매처가 1~3 cm 오차 고지) / 접착: 접착면 없음 (종이 양면테이프로 붙임) / 판매처·가격: 11번가 상우아트, 2,100원/장 (0.5T 펠트와 묶음배송)</v>
      </c>
      <c r="J59" t="str">
        <v>https://www.11st.co.kr/products/7591566666</v>
      </c>
    </row>
    <row r="60">
      <c r="A60" t="str">
        <v>본체·결합</v>
      </c>
      <c r="B60" t="str">
        <v>오꾸메 합판 400×1200×11.5 (스피커)</v>
      </c>
      <c r="C60">
        <v>1</v>
      </c>
      <c r="D60" s="1">
        <v>17680</v>
      </c>
      <c r="E60" s="1">
        <f>C60*D60</f>
        <v>17680</v>
      </c>
      <c r="F60">
        <v>1</v>
      </c>
      <c r="G60" t="str">
        <v>동진나무공장</v>
      </c>
      <c r="H60" t="str">
        <v>왼쪽·오른쪽 스피커 파트의 밀폐 상자 2개(외형 180 × 195 × 210, 안 5.05 L)를 이 한 장에서 잘라 만든다. 상자마다 옆판 2·뒤판 1·위아래판 2 = 5장, 모두 10장. 앞판(배플)은 PETG 출력이다.</v>
      </c>
      <c r="I60" t="str">
        <v>규격: 오꾸메 합판 400 × 1200 × 11.5 mm / 재단: 무료, 직선만 / 조각: 옆판 195 × 210 ×4, 뒤판 157 × 210 ×2, 위·아래판 172 × 157 ×4 / 판매처: 동진나무공장 (namugongjang.com, product_no=1378) / 가격: 17,680원 (배송 무료)</v>
      </c>
      <c r="J60" t="str">
        <v>https://namugongjang.com/product/detail.html?product_no=1378</v>
      </c>
    </row>
    <row r="61">
      <c r="A61" t="str">
        <v>본체·결합</v>
      </c>
      <c r="B61" t="str">
        <v>오꾸메 합판 600×1200×11.5 (가운데 유닛)</v>
      </c>
      <c r="C61">
        <v>1</v>
      </c>
      <c r="D61" s="1">
        <v>22520</v>
      </c>
      <c r="E61" s="1">
        <f>C61*D61</f>
        <v>22520</v>
      </c>
      <c r="F61">
        <v>1</v>
      </c>
      <c r="G61" t="str">
        <v>동진나무공장</v>
      </c>
      <c r="H61" t="str">
        <v>가운데 유닛 상자(894 × 195 × 100: 예비 건반 보관함·CU 칸·보조배터리 칸)를 이 한 장에서 만든다. 바닥 2·뚜껑 2·앞판 1·뒤판 2·끝판 2·칸막이 2 = 11장.</v>
      </c>
      <c r="I61" t="str">
        <v>규격: 오꾸메 합판 600 × 1200 × 11.5 mm / 재단: 무료, 직선만 / 조각: 바닥 356 × 195·338 × 195, 뚜껑 356 × 195·338 × 195, 앞판 894 × 77, 뒤판 356 × 77·338 × 77, 끝판 172 × 77 ×2, 칸막이 172 × 77·172 × 57 / 판매처: 동진나무공장 (product_no=1378) / 가격: 22,520원 (배송 무료)</v>
      </c>
      <c r="J61" t="str">
        <v>https://namugongjang.com/product/detail.html?product_no=1378</v>
      </c>
    </row>
    <row r="62">
      <c r="A62" t="str">
        <v>본체·결합</v>
      </c>
      <c r="B62" t="str">
        <v>네오디뮴 자석 Ø8×3 N35 (뚜껑)</v>
      </c>
      <c r="C62">
        <v>12</v>
      </c>
      <c r="D62" s="1">
        <v>160</v>
      </c>
      <c r="E62" s="1">
        <f>C62*D62</f>
        <v>1920</v>
      </c>
      <c r="F62">
        <v>14</v>
      </c>
      <c r="G62" t="str">
        <v>대건상사</v>
      </c>
      <c r="H62" t="str">
        <v>가운데 유닛 뚜껑 3장이 미끄러지지 않게 붙여 둔다. 뚜껑마다 대각선 두 구석에 뚜껑 쪽·받침 쪽 한 쌍 = 12개를 Ø8.2 포켓에 순간접착제로 붙인다.</v>
      </c>
      <c r="I62" t="str">
        <v>규격: Ø8 × 3 mm, N35 네오디뮴 / 흡착력: 한 개 약 1.1~1.2 kg (추정) / 사용 온도: 80 °C 이하 / 옵션: 3.0T (두께 3 mm) / 판매처·가격: 대건상사, 160원/개</v>
      </c>
      <c r="J62" t="str">
        <v>https://dgmagnet.com/product/detail.html?product_no=17</v>
      </c>
    </row>
    <row r="63">
      <c r="A63" t="str">
        <v>본체·결합</v>
      </c>
      <c r="B63" t="str">
        <v>매미고리 1-20 SUS 토글 래치</v>
      </c>
      <c r="C63">
        <v>2</v>
      </c>
      <c r="D63" s="1">
        <v>2400</v>
      </c>
      <c r="E63" s="1">
        <f>C63*D63</f>
        <v>4800</v>
      </c>
      <c r="F63">
        <v>2</v>
      </c>
      <c r="G63" t="str">
        <v>철물박사</v>
      </c>
      <c r="H63" t="str">
        <v>가운데 유닛과 왼쪽·오른쪽 스피커 파트의 이음 뒷면에 1개씩 = 2개. 도브테일이 위치를 잡고 래치가 당겨 잠근다. 도브테일 블록의 출력 받침에 M3 × 10 4개로 고정한다.</v>
      </c>
      <c r="I63" t="str">
        <v>제품: 매미고리 1-20, SUS304 / 길이: 잠근 상태 54 mm (본체 43.3 mm) / 본체: 폭 25.2, 높이 10 mm, 나사 구멍 2-Ø4 (간격 10.5) / 걸이: 23.3 × 11.8, 높이 8.8 mm, 나사 구멍 2-Ø4 (간격 12.5) / 판 두께: 약 1.0~1.2 mm / 판매처·가격: 철물박사, 2,400원/조</v>
      </c>
      <c r="J63" t="str">
        <v>https://www.metaldiy.com/item/itemView.do?itemId=8806379117286</v>
      </c>
    </row>
    <row r="64">
      <c r="A64" t="str">
        <v>본체·결합</v>
      </c>
      <c r="B64" t="str">
        <v>M3 방진 댐퍼(그로밋) 20개</v>
      </c>
      <c r="C64">
        <v>1</v>
      </c>
      <c r="D64" s="1">
        <v>4500</v>
      </c>
      <c r="E64" s="1">
        <f>C64*D64</f>
        <v>4500</v>
      </c>
      <c r="F64">
        <v>1</v>
      </c>
      <c r="G64" t="str">
        <v>알씨뱅크</v>
      </c>
      <c r="H64" t="str">
        <v>왼쪽·오른쪽 끝 부속과 스피커 파트를 잇는 짧은 PETG 방진 브래킷(40 × 17 × 6)에 2개씩 = 4개. 위치만 잡아 주고, 스피커 무게는 고무발이 받는다.</v>
      </c>
      <c r="I64" t="str">
        <v>종류: FC 방진 댐퍼(러버), M3 볼트용 / 치수: 지름 6 mm, 높이 8.6 mm, 볼트 구멍 3 mm, 허리 홈(기판 1.6 mm용) / 수량: 20개 / 판매처·가격: 알씨뱅크 4,500원 (5만 원 미만 배송비 3,500원, 5만 원 이상 무료)</v>
      </c>
      <c r="J64" t="str">
        <v>https://www.rcbank.co.kr/shop/goods/goods_view.php?goodsno=67110</v>
      </c>
    </row>
    <row r="65">
      <c r="A65" t="str">
        <v>소모품</v>
      </c>
      <c r="B65" t="str">
        <v>열수축튜브 530개 세트 (케이스)</v>
      </c>
      <c r="C65">
        <v>1</v>
      </c>
      <c r="D65" s="1">
        <v>6600</v>
      </c>
      <c r="E65" s="1">
        <f>C65*D65</f>
        <v>6600</v>
      </c>
      <c r="F65">
        <v>1</v>
      </c>
      <c r="G65" t="str">
        <v>엘레파츠</v>
      </c>
      <c r="H65" t="str">
        <v>끝 부속 리드(EL 5가닥 + ER 3가닥)를 뒤 케이블 통로에서 L66 JST-XH 리드(끝 부속 쪽 50 mm)와 이은 8곳을 덮는다(SCH-04 주 6). CU의 퓨즈 홀더(F601) 선을 PD 트리거 출력·스위치 쪽 선과 이은 곳, 스피커선(16 AWG)을 XT30 꼬리선에 이은 곳, 페달 안 센서 납땜부, 페달 잭 뒤쪽 납땜에도 쓴다. 구매 목록은 O1·O7 제어 기판 J302 패드에 L66 리드를 납땜한 곳도 적었다. 배선 단계에서 쓴다.</v>
      </c>
      <c r="I65" t="str">
        <v>수축률: 2:1 / 굵기: 1.5 / 2 / 3 / 4 / 5 / 6 / 8 / 10 mm / 길이: 45 mm / 수량: 530개 / 포장: 플라스틱 보관 케이스 / 판매: 엘레파츠 no=8170311, 6,600원</v>
      </c>
      <c r="J65" t="str">
        <v>https://www.eleparts.co.kr/goods/view?no=8170311</v>
      </c>
    </row>
    <row r="66">
      <c r="A66" t="str">
        <v>공구</v>
      </c>
      <c r="B66" t="str">
        <v>Ø4.0 HSS 드릴 날 SD 4.0</v>
      </c>
      <c r="C66">
        <v>1</v>
      </c>
      <c r="D66" s="1">
        <v>990</v>
      </c>
      <c r="E66" s="1">
        <f>C66*D66</f>
        <v>990</v>
      </c>
      <c r="F66">
        <v>1</v>
      </c>
      <c r="G66" t="str">
        <v>나비엠알오</v>
      </c>
      <c r="H66" t="str">
        <v>Ø3.9로 출력한 구멍을 Ø4.0으로 넓혀 Ø4 봉이 부드럽게 들어가고 레버가 잘 돌게 한다. 레버 캐리어 허브 88개, 모듈 프레임 핀 보스 5 × 7 = 35개, 끝 부속 핀 보스, 출력 공구(지그 K·L 구멍, 가짜 레버 허브), 단계 0 시편(C01a·b·d, C06a)까지 모두 약 130구멍이다.</v>
      </c>
      <c r="I66" t="str">
        <v>규격: 스트레이트 드릴 SD 4.0 (나비엠알오 K11176355) / 재질: HSS (M2) / 지름: 4.0 mm / 날장·전장: 55 mm / 84 mm / 끝각: 118° / 표면: 브라이트 (은색) / 원산지: 중국 / 가격: 990원 (VAT 포함, 나비엠알오)</v>
      </c>
      <c r="J66" t="str">
        <v>https://www.navimro.com/g/171100/</v>
      </c>
    </row>
    <row r="67">
      <c r="A67" t="str">
        <v>페달</v>
      </c>
      <c r="B67" t="str">
        <v>3.5 mm 스테레오 AUX 선 3 m (페달)</v>
      </c>
      <c r="C67">
        <v>1</v>
      </c>
      <c r="D67" s="1">
        <v>2860</v>
      </c>
      <c r="E67" s="1">
        <f>C67*D67</f>
        <v>2860</v>
      </c>
      <c r="F67">
        <v>1</v>
      </c>
      <c r="G67" t="str">
        <v>아이씨뱅큐</v>
      </c>
      <c r="H67" t="str">
        <v>댐퍼 페달(책상 앞 바닥)과 가운데 유닛 I/O 판의 페달 잭(J501, L15 ②)을 잇는 신호선 1가닥(W501)이다. 한쪽 플러그를 잘라 페달 안 센서 기판에 납땜하고(팁 = 센서 출력, 링 = 3V3, 슬리브 = GND), 남은 플러그를 I/O 판 잭에 꽂는다.</v>
      </c>
      <c r="I67" t="str">
        <v>커넥터: 3.5 mm 3극(TRS) 수 ↔ 수 / 길이: 3 m / 모델: Coms BC256 / 배선: 팁 = OUT(페달 안 1 kΩ R551 거침), 링 = PED_VCC 3V3, 슬리브 = GND / 판매: 아이씨뱅큐 P004711396</v>
      </c>
      <c r="J67" t="str">
        <v>https://www.icbanq.com/P004711396</v>
      </c>
    </row>
    <row r="68">
      <c r="A68" t="str">
        <v>소프트웨어</v>
      </c>
      <c r="B68" t="str">
        <v>FluidSynth 2.6.1 (무료)</v>
      </c>
      <c r="C68">
        <v>1</v>
      </c>
      <c r="D68" s="1">
        <v>0</v>
      </c>
      <c r="E68" s="1">
        <f>C68*D68</f>
        <v>0</v>
      </c>
      <c r="F68">
        <v>1</v>
      </c>
      <c r="G68" t="str">
        <v>무료 (다운로드) · FluidSynth</v>
      </c>
      <c r="H68" t="str">
        <v>Pi 5의 microSD에 설치하는 피아노 소리 엔진. USB-MIDI 8개(O1~O7, PED)를 midi.autoconnect=1로 한 곳에 모으고, ALSA hw:로 USB 동글(L51)에 48 kHz로 낸다. 출력 리미터를 켜 둔다(D18).</v>
      </c>
      <c r="I68" t="str">
        <v>버전: 2.6.1 (2026-09-19 릴리스) / 형식: SoundFont 2 샘플 재생 신스, LGPL-2.1 / 입력 병합: midi.autoconnect=1 (USB-MIDI 8개) / 출력: ALSA hw:&lt;동글&gt;,0, 48 kHz (D7) / 리미터: synth.limiter.active=1 (D18) / 서스테인: CC64 64 이상 켜짐 / 미만 꺼짐 (하프페달 음색 없음)</v>
      </c>
      <c r="J68" t="str">
        <v>https://www.fluidsynth.org/</v>
      </c>
    </row>
    <row r="69">
      <c r="A69" t="str">
        <v>소프트웨어</v>
      </c>
      <c r="B69" t="str">
        <v>Salamander 그랜드 피아노 음원 (무료)</v>
      </c>
      <c r="C69">
        <v>1</v>
      </c>
      <c r="D69" s="1">
        <v>0</v>
      </c>
      <c r="E69" s="1">
        <f>C69*D69</f>
        <v>0</v>
      </c>
      <c r="F69">
        <v>1</v>
      </c>
      <c r="G69" t="str">
        <v>무료 (다운로드) · FreePats</v>
      </c>
      <c r="H69" t="str">
        <v>FluidSynth가 읽는 피아노 음원 SF2 파일(296 MB) 1개를 Pi 5 microSD에 넣는다.</v>
      </c>
      <c r="I69" t="str">
        <v>원본: Yamaha C5 그랜드 피아노 녹음 (AKG C414 ×2, AB) / 벨로시티 층: 16단계 / 용량: SF2 296 MiB (V3+2020-06-02) / 라이선스: Creative Commons Attribution 3.0 / 배포: FreePats</v>
      </c>
      <c r="J69" t="str">
        <v>https://freepats.zenvoid.org/Piano/acoustic-grand-piano.html</v>
      </c>
    </row>
    <row r="70">
      <c r="A70" t="str">
        <v/>
      </c>
      <c r="B70" t="str">
        <v>부품·소모품·공구 합계 (배송비 제외)</v>
      </c>
      <c r="C70" t="str">
        <v/>
      </c>
      <c r="D70" t="str">
        <v/>
      </c>
      <c r="E70" s="1">
        <f>SUM(E2:E69)</f>
        <v>599961</v>
      </c>
    </row>
  </sheetData>
  <ignoredErrors>
    <ignoredError numberStoredAsText="1" sqref="A1:J70"/>
  </ignoredErrors>
</worksheet>
</file>

<file path=xl/worksheets/sheet3.xml><?xml version="1.0" encoding="utf-8"?>
<worksheet xmlns="http://schemas.openxmlformats.org/spreadsheetml/2006/main" xmlns:r="http://schemas.openxmlformats.org/officeDocument/2006/relationships">
  <dimension ref="A1:H40"/>
  <sheetViews>
    <sheetView workbookViewId="0"/>
  </sheetViews>
  <cols>
    <col min="1" max="1" width="12.83203125" customWidth="1"/>
    <col min="2" max="2" width="34.83203125" customWidth="1"/>
    <col min="3" max="3" width="9.83203125" customWidth="1"/>
    <col min="4" max="4" width="10.83203125" customWidth="1"/>
    <col min="5" max="5" width="12.83203125" customWidth="1"/>
    <col min="6" max="6" width="24.83203125" customWidth="1"/>
    <col min="7" max="7" width="60.83203125" customWidth="1"/>
    <col min="8" max="8" width="40.83203125" customWidth="1"/>
  </cols>
  <sheetData>
    <row r="1">
      <c r="A1" t="str">
        <v>분류</v>
      </c>
      <c r="B1" t="str">
        <v>품목</v>
      </c>
      <c r="C1" t="str">
        <v>처음 수량</v>
      </c>
      <c r="D1" t="str">
        <v>단가(원)</v>
      </c>
      <c r="E1" t="str">
        <v>처음 금액(원)</v>
      </c>
      <c r="F1" t="str">
        <v>판매처</v>
      </c>
      <c r="G1" t="str">
        <v>쓰는 곳</v>
      </c>
      <c r="H1" t="str">
        <v>링크</v>
      </c>
    </row>
    <row r="2">
      <c r="A2" t="str">
        <v>제어·전원</v>
      </c>
      <c r="B2" t="str">
        <v>XL4016 강압 모듈 XH-M401</v>
      </c>
      <c r="C2">
        <v>1</v>
      </c>
      <c r="D2">
        <v>5170</v>
      </c>
      <c r="E2">
        <v>5170</v>
      </c>
      <c r="F2" t="str">
        <v>아이씨뱅큐</v>
      </c>
      <c r="G2" t="str">
        <v>CU 칸 트레이 보스 4개에 M3×10(L34) 4개로 1개를 고정한다. 입력은 스위치 뒤 20 V이고, 출력 5.1 V는 Pi 5 전원선(C24)과 허브 DC 선(허브 어댑터 선을 잘라 씀) 두 곳으로 나간다(SCH-06 A602).</v>
      </c>
      <c r="H2" t="str">
        <v>https://www.icbanq.com/P017179502</v>
      </c>
    </row>
    <row r="3">
      <c r="A3" t="str">
        <v>오디오</v>
      </c>
      <c r="B3" t="str">
        <v>TPA3110 앰프 보드 XH-A232</v>
      </c>
      <c r="C3">
        <v>1</v>
      </c>
      <c r="D3">
        <v>2750</v>
      </c>
      <c r="E3">
        <v>2750</v>
      </c>
      <c r="F3" t="str">
        <v>아이씨뱅큐</v>
      </c>
      <c r="G3" t="str">
        <v>가운데 유닛 CU 칸 트레이의 출력 보스에 1개를 M3 나사 4개(L34)로 고정한다. 20 V 버스(PD 트리거 → 퓨즈 → 스위치 뒤)에서 전원을 받고, 입력은 앰프 입력 잭(L15 ③)과 저음 차단 RC를 거쳐 들어온다. 출력 L±·R±는 스피커선(C13) → XT30으로 좌우 스피커 2개를 울린다.</v>
      </c>
      <c r="H3" t="str">
        <v>https://www.icbanq.com/P017179248</v>
      </c>
    </row>
    <row r="4">
      <c r="A4" t="str">
        <v>제어·전원</v>
      </c>
      <c r="B4" t="str">
        <v>USB-C↔C PD 60W 케이블 2 m</v>
      </c>
      <c r="C4">
        <v>1</v>
      </c>
      <c r="D4">
        <v>2670</v>
      </c>
      <c r="E4">
        <v>2670</v>
      </c>
      <c r="F4" t="str">
        <v>엘레파츠</v>
      </c>
      <c r="G4" t="str">
        <v>벽 충전기(L62)에서 피아노 뒤 I/O 판 USB-C 입력(L57)까지 1개로 잇는다(W601).</v>
      </c>
      <c r="H4" t="str">
        <v>https://www.eleparts.co.kr/goods/view?no=17806170</v>
      </c>
    </row>
    <row r="5">
      <c r="A5" t="str">
        <v>제어·전원</v>
      </c>
      <c r="B5" t="str">
        <v>MAXTEK MT666 USB-C 2선 전원선</v>
      </c>
      <c r="C5">
        <v>1</v>
      </c>
      <c r="D5">
        <v>1190</v>
      </c>
      <c r="E5">
        <v>1190</v>
      </c>
      <c r="F5" t="str">
        <v>엘레파츠</v>
      </c>
      <c r="G5" t="str">
        <v>강압 모듈(L58) 출력 단자에 빨강(+)·검정(−) 두 선을 물리고, USB-C 플러그를 Pi 5 전원 입력에 꽂는다. CU 칸 안에서 1개 사용(W603, SCH-06 P601).</v>
      </c>
      <c r="H5" t="str">
        <v>https://www.eleparts.co.kr/goods/view?no=17358965</v>
      </c>
    </row>
    <row r="6">
      <c r="A6" t="str">
        <v>센서·MCU·기판</v>
      </c>
      <c r="B6" t="str">
        <v>USB-A → C 케이블 1 m (Coms NA993)</v>
      </c>
      <c r="C6">
        <v>8</v>
      </c>
      <c r="D6">
        <v>1620</v>
      </c>
      <c r="E6">
        <v>12960</v>
      </c>
      <c r="F6" t="str">
        <v>엘레파츠</v>
      </c>
      <c r="G6" t="str">
        <v>모듈 O1~O7의 RP2040-Zero USB-C에서 가운데 유닛 USB 허브까지 7가닥(W201~W207), 페달 보드에서 허브까지 1가닥(W208, CU 칸 안에 짧게 묶음) = 8가닥. 모듈 7가닥은 허브에 꽂힌 채 뒷바 아래 케이블 통로에 두고, 설치 때 모듈 쪽만 꽂는다(R27).</v>
      </c>
      <c r="H6" t="str">
        <v>https://www.eleparts.co.kr/goods/view?no=4313490</v>
      </c>
    </row>
    <row r="7">
      <c r="A7" t="str">
        <v>소모품</v>
      </c>
      <c r="B7" t="str">
        <v>캡톤 테이프 10 mm × 33 m (KzPton)</v>
      </c>
      <c r="C7">
        <v>1</v>
      </c>
      <c r="D7">
        <v>4059</v>
      </c>
      <c r="E7">
        <v>4059</v>
      </c>
      <c r="F7" t="str">
        <v>엘레파츠</v>
      </c>
      <c r="G7" t="str">
        <v>RP2040-Zero 8개(모듈 제어 기판 7 + 페달 보드 1)와 만능기판 사이에 한 장씩 붙인다. 제로 밑면의 칩·수정·LDO가 양면 만능기판 윗면의 구리 패드나 납땜에 닿아 합선되지 않게 하는 절연이다. 제로는 핀 헤더로 세워 이 부품들 위(캡톤)에 얹히므로 약 1.3 mm 높아진다. 남는 테이프로 기판 아랫면 납땜 자리도 덮는다.</v>
      </c>
      <c r="H7" t="str">
        <v>https://www.eleparts.co.kr/goods/view?no=557</v>
      </c>
    </row>
    <row r="8">
      <c r="A8" t="str">
        <v>소모품</v>
      </c>
      <c r="B8" t="str">
        <v>케이블 타이 100 mm 100개 (T-C2510B)</v>
      </c>
      <c r="C8">
        <v>1</v>
      </c>
      <c r="D8">
        <v>438</v>
      </c>
      <c r="E8">
        <v>438</v>
      </c>
      <c r="F8" t="str">
        <v>엘레파츠</v>
      </c>
      <c r="G8" t="str">
        <v>모듈 7개의 USB-C 케이블을 모듈 뒷벽에 묶어 당겨도 빠지지 않게 한다. O1·O7의 EXT 리드(L66)도 같은 방법으로 묶는다. 뒷바 아래 케이블 통로에서 모듈 USB 케이블 7가닥을 묶어 정리하고, 페달 보드 USB(W208)는 CU 안에서 짧게 묶는다. 페달 안에서는 3 m 케이블(W501)을 한 번 묶어 당김을 막는다.</v>
      </c>
      <c r="H8" t="str">
        <v>https://www.eleparts.co.kr/goods/view?no=9100003</v>
      </c>
    </row>
    <row r="9">
      <c r="A9" t="str">
        <v>소모품</v>
      </c>
      <c r="B9" t="str">
        <v>유연납 0.8 mm 50 g (YUN FANG Sn63)</v>
      </c>
      <c r="C9">
        <v>1</v>
      </c>
      <c r="D9">
        <v>3850</v>
      </c>
      <c r="E9">
        <v>3850</v>
      </c>
      <c r="F9" t="str">
        <v>엘레파츠</v>
      </c>
      <c r="G9" t="str">
        <v>센서 기판 7장, 제어 기판 7장, 끝 부속 EL·ER 기판, 페달 보드, 페달 안 센서, CU 배선(잭·XT30·전원선)의 손 납땜 전체에 쓴다. 모듈당 약 200점, 전체 약 1,500점이다(구매 목록 기준).</v>
      </c>
      <c r="H9" t="str">
        <v>https://www.eleparts.co.kr/goods/view?no=12755646</v>
      </c>
    </row>
    <row r="10">
      <c r="A10" t="str">
        <v>센서·MCU·기판</v>
      </c>
      <c r="B10" t="str">
        <v>탄소피막 저항 10 kΩ (10개)</v>
      </c>
      <c r="C10">
        <v>10</v>
      </c>
      <c r="D10">
        <v>25</v>
      </c>
      <c r="E10">
        <v>250</v>
      </c>
      <c r="F10" t="str">
        <v>엘레파츠</v>
      </c>
      <c r="G10" t="str">
        <v>지금 회로(hardware/pcb bom.csv)에는 10 kΩ를 쓰는 곳이 없다. 예비로만 남은 줄이다.</v>
      </c>
      <c r="H10" t="str">
        <v>https://www.eleparts.co.kr/goods/view?no=10951</v>
      </c>
    </row>
    <row r="11">
      <c r="A11" t="str">
        <v>오디오</v>
      </c>
      <c r="B11" t="str">
        <v>USB-C(암)→USB-A(수) ㄱ자 젠더</v>
      </c>
      <c r="C11">
        <v>1</v>
      </c>
      <c r="D11">
        <v>1700</v>
      </c>
      <c r="E11">
        <v>1700</v>
      </c>
      <c r="F11" t="str">
        <v>엘레파츠</v>
      </c>
      <c r="G11" t="str">
        <v>CU 칸 Pi 5의 USB-A 포트에 꽂고, 여기에 Apple 동글(L51)의 USB-C 플러그를 꽂는다(X701). 동글은 허브를 거치지 않고 Pi에 바로 붙는다.</v>
      </c>
      <c r="H11" t="str">
        <v>https://www.eleparts.co.kr/goods/view?no=11043038</v>
      </c>
    </row>
    <row r="12">
      <c r="A12" t="str">
        <v>본체·결합</v>
      </c>
      <c r="B12" t="str">
        <v>NAVI 종이 양면테이프 48 mm × 6 m</v>
      </c>
      <c r="C12">
        <v>1</v>
      </c>
      <c r="D12">
        <v>1080</v>
      </c>
      <c r="E12">
        <v>1080</v>
      </c>
      <c r="F12" t="str">
        <v>엘레파츠</v>
      </c>
      <c r="G12" t="str">
        <v>건반 모듈 7개와 끝 부속 2개 밑면에 EVA 3T 바닥 시트를 붙일 때 띠 모양으로 쓴다. 보조배터리 칸 뒤 벽에 USB 허브(i093)를 붙일 때도 이 테이프를 쓴다. 접착면이 없는 메리노 펠트(i106 2T: 앞 펠트·키퍼 펠트)를 붙이는 데도 쓸 수 있다. 다만 펠트를 붙이는 방법은 r4.5 DESIGN.md에 적혀 있지 않다.</v>
      </c>
      <c r="H12" t="str">
        <v>https://www.eleparts.co.kr/goods/view?no=17897439</v>
      </c>
    </row>
    <row r="13">
      <c r="A13" t="str">
        <v>공구</v>
      </c>
      <c r="B13" t="str">
        <v>Coms 디지털 멀티미터 DT-832 (NT117)</v>
      </c>
      <c r="C13">
        <v>1</v>
      </c>
      <c r="D13">
        <v>7600</v>
      </c>
      <c r="E13">
        <v>7600</v>
      </c>
      <c r="F13" t="str">
        <v>엘레파츠</v>
      </c>
      <c r="G13" t="str">
        <v>회로를 처음 켤 때 점검에 쓴다(hardware/pcb '도착 후 확인할 것' 1~8번). PD 트리거가 20 V를 내는지, 강압 모듈을 Pi에 잇기 전에 5.10~5.15 V로 맞췄는지 잰다. 잭 3개(PJ-313)는 통전 검사로 핀 글자(T·TN·R·RN·S)를 찾고, 플러그가 없을 때 노멀 접점이 닫히는지 본다. 센서 출력 1.59~1.71 V, 페달 링–슬리브 3.05 V 이상, 스피커 저항 6~7 Ω, 허브 역급전(Pi 5V 핀 0 V), O1 제로의 3V3 전류 60~130 mA도 잰다.</v>
      </c>
      <c r="H13" t="str">
        <v>https://www.eleparts.co.kr/goods/view?no=6779159</v>
      </c>
    </row>
    <row r="14">
      <c r="A14" t="str">
        <v>공구</v>
      </c>
      <c r="B14" t="str">
        <v>Prokit 정밀 스트리퍼 CP-301G</v>
      </c>
      <c r="C14">
        <v>1</v>
      </c>
      <c r="D14">
        <v>4500</v>
      </c>
      <c r="E14">
        <v>4500</v>
      </c>
      <c r="F14" t="str">
        <v>엘레파츠</v>
      </c>
      <c r="G14" t="str">
        <v>가는 선(AWG 20~30) 피복을 벗긴다. 가장 많은 것은 리본 7줄의 양끝 16가닥씩 224가닥이다(센서 기판 J201 ↔ 제어 기판 J301 직접 납땜). 센서 기판 3V3·GND 버스와 제어 기판 링크로 쓰는 리본 가닥(SE12), 끝 부속 EL·ER 리드(W401·W411)와 JST-XH 연장선(W403·W413), 잭 → 페달 보드 선(W502), 페달 케이블(W501), 헤드폰·앰프 입력 선(W701·W702)의 자른 끝에도 쓴다.</v>
      </c>
      <c r="H14" t="str">
        <v>https://www.eleparts.co.kr/goods/view?no=3787704</v>
      </c>
    </row>
    <row r="15">
      <c r="A15" t="str">
        <v>공구</v>
      </c>
      <c r="B15" t="str">
        <v>JAKEMY 5인치 니퍼 JM-CT2-2</v>
      </c>
      <c r="C15">
        <v>1</v>
      </c>
      <c r="D15">
        <v>3960</v>
      </c>
      <c r="E15">
        <v>3960</v>
      </c>
      <c r="F15" t="str">
        <v>엘레파츠</v>
      </c>
      <c r="G15" t="str">
        <v>납땜 뒤 남는 다리를 자른다. 홀센서 89개(모듈 12 × 7 + 끝 부속 4 + 페달 1) × 다리 3개와 리드형 저항·콘덴서(제어 기판 R301~R303, 페달 R501~R503·R551, CU R701·R702·C701~C704)에 쓴다. 1×40 핀헤더 9줄을 1×16·1×8(먹스 7세트)과 1×9(제로 8개 × 2)로 자를 때는 핀 사이 플라스틱을 자른다(v3 CT13). 리본과 JST-XH 연장선(L66, 150 / 50 mm) 자르기, 출력물 거스러미 정리, 16 AWG 전원·스피커선 피복 칼집 내기에도 쓴다.</v>
      </c>
      <c r="H15" t="str">
        <v>https://www.eleparts.co.kr/goods/view?no=7663472</v>
      </c>
    </row>
    <row r="16">
      <c r="A16" t="str">
        <v>공구</v>
      </c>
      <c r="B16" t="str">
        <v>블루텍 버니어 캘리퍼스 NA530-200</v>
      </c>
      <c r="C16">
        <v>1</v>
      </c>
      <c r="D16">
        <v>13400</v>
      </c>
      <c r="E16">
        <v>13400</v>
      </c>
      <c r="F16" t="str">
        <v>엘레파츠</v>
      </c>
      <c r="G16" t="str">
        <v>치수 확인 전반에 쓴다. 강철 블록 90개의 두께가 8.9~9.1인지 골라내고(DESIGN 10장 4단계), 봉 토막을 161.4 ± 0.2로 맞춘다. 출력 공구(지그·높이 블록·핀 게이지)를 검증하고, USB-C 케이블 몰드(≤ 12.5 × 7.6 × 25)와 제로 리셉터클 위치(오른쪽 모서리에서 4.67, pcb 확인 9번)를 잰다. 단계 0 시험의 펠트·천 두께(시험 T)와 핀 돌출(시험 P)도 이것으로 잰다.</v>
      </c>
      <c r="H16" t="str">
        <v>https://www.eleparts.co.kr/goods/view?no=16549359</v>
      </c>
    </row>
    <row r="17">
      <c r="A17" t="str">
        <v>공구</v>
      </c>
      <c r="B17" t="str">
        <v>코텍스 쇠톱(대) K-9301, 300 mm</v>
      </c>
      <c r="C17">
        <v>1</v>
      </c>
      <c r="D17">
        <v>6500</v>
      </c>
      <c r="E17">
        <v>6500</v>
      </c>
      <c r="F17" t="str">
        <v>엘레파츠</v>
      </c>
      <c r="G17" t="str">
        <v>강철 띠(9T×19, 1 m × 4장)를 40 mm로 90번 자른다(88 + 예비 2). Ø4 SUS 봉(1 m × 4개)도 자른다. 모듈용 161.4 mm 16토막(건반 봉 8·레버 봉 8, 예비 포함), 끝 부속용 짧은 토막 4개(건반 약 45·21, 레버 45.9·22.2), 출력 공구 3토막(31.6·20.6·31.6), 단계 0 시편 5토막(24·40·18·45·45)이다. 바이스(PD-374)에 물려 쓰며 강철·봉을 합쳐 약 3~4시간 걸린다(costsel 추정).</v>
      </c>
      <c r="H17" t="str">
        <v>https://www.eleparts.co.kr/goods/view?no=9100747</v>
      </c>
    </row>
    <row r="18">
      <c r="A18" t="str">
        <v>공구</v>
      </c>
      <c r="B18" t="str">
        <v>LENOX 12인치 쇠톱날 T2355</v>
      </c>
      <c r="C18">
        <v>2</v>
      </c>
      <c r="D18">
        <v>2200</v>
      </c>
      <c r="E18">
        <v>4400</v>
      </c>
      <c r="F18" t="str">
        <v>엘레파츠</v>
      </c>
      <c r="G18" t="str">
        <v>쇠톱(K-9301)에 거는 300 mm 날이다. 강철 90컷과 SUS 봉 약 28토막 자르기에 쓴다. 한 장이 무뎌지거나 부러지면 두 번째 장으로 바꾼다.</v>
      </c>
      <c r="H18" t="str">
        <v>https://www.eleparts.co.kr/goods/view?no=4101973</v>
      </c>
    </row>
    <row r="19">
      <c r="A19" t="str">
        <v>공구</v>
      </c>
      <c r="B19" t="str">
        <v>Coms 철공용 평줄 BD079</v>
      </c>
      <c r="C19">
        <v>1</v>
      </c>
      <c r="D19">
        <v>6800</v>
      </c>
      <c r="E19">
        <v>6800</v>
      </c>
      <c r="F19" t="str">
        <v>엘레파츠</v>
      </c>
      <c r="G19" t="str">
        <v>자른 강철 블록 90개의 절단면 버를 없앤다(모따기는 안 함). 봉 토막 끝을 161.4 ± 0.2로 맞추고 모따기한다. 출력 공구용 봉 토막 3개 끝(tools.md 준비 3)과 스프링 다리 자른 끝의 거스러미도 다듬는다(DESIGN 4장·10장 4단계).</v>
      </c>
      <c r="H19" t="str">
        <v>https://www.eleparts.co.kr/goods/view?no=12185326</v>
      </c>
    </row>
    <row r="20">
      <c r="A20" t="str">
        <v>공구</v>
      </c>
      <c r="B20" t="str">
        <v>Prokit 탁상 바이스 PD-374</v>
      </c>
      <c r="C20">
        <v>1</v>
      </c>
      <c r="D20">
        <v>20000</v>
      </c>
      <c r="E20">
        <v>20000</v>
      </c>
      <c r="F20" t="str">
        <v>엘레파츠</v>
      </c>
      <c r="G20" t="str">
        <v>강철 띠와 Ø4 봉을 책상 모서리에 고정해 톱질·줄질할 때 문다. 밸런스 핀이 빡빡할 때 천천히 눌러 넣는 데 쓴다(tools.md, 망치 금지). 단계 0 시험 P(핀 압입 쿠폰)와 시험 20(강철 블록을 117 N으로 누름)에서도 누르는 데 쓸 수 있다.</v>
      </c>
      <c r="H20" t="str">
        <v>https://www.eleparts.co.kr/goods/view?no=2923219</v>
      </c>
    </row>
    <row r="21">
      <c r="A21" t="str">
        <v>공구</v>
      </c>
      <c r="B21" t="str">
        <v>육각 렌치 2.5 mm — 볼트 상품의 추가 옵션</v>
      </c>
      <c r="C21">
        <v>1</v>
      </c>
      <c r="D21">
        <v>600</v>
      </c>
      <c r="E21">
        <v>600</v>
      </c>
      <c r="F21" t="str">
        <v>11번가</v>
      </c>
      <c r="G21" t="str">
        <v>굿나잇몰 '유두' 렌치볼트(M3 소켓 캡)를 조인다. M3×10(L34) 36개(센서 바·기판 18 = 모듈 14 + 끝 부속 4, CU 트레이 부품 10, 토글 래치 8)와 M3×6(L35) 16개(모듈 제어 기판 7 × 2 + CU 페달 보드 2, 밑에서 조임)에 쓴다.</v>
      </c>
      <c r="H21" t="str">
        <v>https://www.11st.co.kr/products/4236198413</v>
      </c>
    </row>
    <row r="22">
      <c r="A22" t="str">
        <v>공구</v>
      </c>
      <c r="B22" t="str">
        <v>육각 렌치 2.0 mm — 볼트 상품의 추가 옵션</v>
      </c>
      <c r="C22">
        <v>1</v>
      </c>
      <c r="D22">
        <v>600</v>
      </c>
      <c r="E22">
        <v>600</v>
      </c>
      <c r="F22" t="str">
        <v>11번가</v>
      </c>
      <c r="G22" t="str">
        <v>캡스턴 나사 M3×6 버튼헤드(ISO 7380) 88개를 벤치 지그에서 1/8회전씩 돌려 맞춘다(DESIGN 10장 3단계·12장). 단계 0 시험 C(캡스턴 너트 트랩)에서도 돌린다. Pi 5 고정 나사 M2.5×6(L47, 굿나잇몰 '유두') 4개에도 맞는다.</v>
      </c>
      <c r="H22" t="str">
        <v>https://www.11st.co.kr/products/4236198413</v>
      </c>
    </row>
    <row r="23">
      <c r="A23" t="str">
        <v>건반 액션</v>
      </c>
      <c r="B23" t="str">
        <v>0.5T 부싱 천 (i062와 같은 장, 0원)</v>
      </c>
      <c r="C23">
        <v>1</v>
      </c>
      <c r="D23">
        <v>0</v>
      </c>
      <c r="E23">
        <v>0</v>
      </c>
      <c r="F23" t="str">
        <v>11번가</v>
      </c>
      <c r="G23" t="str">
        <v>스냅 노치·밸런스 핀 홈·가이드 탭 천의 용도를 v4 비용 카드에서 따로 적은 0원 줄이다. 실제 천은 i062 한 장에서 잘라 쓴다.</v>
      </c>
      <c r="H23" t="str">
        <v>https://www.11st.co.kr/products/8517880969</v>
      </c>
    </row>
    <row r="24">
      <c r="A24" t="str">
        <v>제어·전원</v>
      </c>
      <c r="B24" t="str">
        <v>Pi 5 방열판 (알루미늄 4조각)</v>
      </c>
      <c r="C24">
        <v>1</v>
      </c>
      <c r="D24">
        <v>1400</v>
      </c>
      <c r="E24">
        <v>1400</v>
      </c>
      <c r="F24" t="str">
        <v>메카솔루션</v>
      </c>
      <c r="G24" t="str">
        <v>Pi 5 칩 4곳(SoC, 메모리, RP1, 이더넷 칩)에 한 조각씩 붙인다. 1세트 4조각을 모두 쓴다.</v>
      </c>
      <c r="H24" t="str">
        <v>https://www.mechasolution.com/goods/goods_view.php?goodsNo=605179</v>
      </c>
    </row>
    <row r="25">
      <c r="A25" t="str">
        <v>센서·MCU·기판</v>
      </c>
      <c r="B25" t="str">
        <v>만능기판 12×18 cm (센서 기판용)</v>
      </c>
      <c r="C25">
        <v>2</v>
      </c>
      <c r="D25">
        <v>2200</v>
      </c>
      <c r="E25">
        <v>4400</v>
      </c>
      <c r="F25" t="str">
        <v>메카솔루션</v>
      </c>
      <c r="G25" t="str">
        <v>센서 기판 띠를 잘라 내는 판이다. 모듈마다 SB 띠 161.6 × 15.24 mm(6행) 1개 × 7, 끝 부속 EL 45.5 × 15.24·ER 22.0 × 15.24. 센서 다리, 3V3·GND 버스, 칩 콘덴서, 리본이 여기에 납땜되고 센서 바 바로 아래에 들어간다. 남는 조각은 페달 안 센서 받침·PJ-313 받침으로 쓸 수 있다.</v>
      </c>
      <c r="H25" t="str">
        <v>https://www.mechasolution.com/goods/goods_view.php?goodsNo=540645</v>
      </c>
    </row>
    <row r="26">
      <c r="A26" t="str">
        <v>3D 출력 재료</v>
      </c>
      <c r="B26" t="str">
        <v>Bambu PETG Basic 흰색 1 kg (스풀)</v>
      </c>
      <c r="C26">
        <v>1</v>
      </c>
      <c r="D26">
        <v>16150</v>
      </c>
      <c r="E26">
        <v>16150</v>
      </c>
      <c r="F26" t="str">
        <v>Bambu Lab KR 공식 스토어</v>
      </c>
      <c r="G26" t="str">
        <v>흰 건반(백건) 62개를 뽑는다. 내역은 모듈마다 7개 × 7 = 49, 끝 부속 A0·B0·C8 3개, 보관함에 넣을 예비 10개다. 서포트를 포함한 백건 합계는 약 1.44 kg이라 이 스풀을 다 쓰고 리필(i088)로 이어 뽑는다.</v>
      </c>
      <c r="H26" t="str">
        <v>https://kr.store.bambulab.com/products/petg-basic</v>
      </c>
    </row>
    <row r="27">
      <c r="A27" t="str">
        <v>3D 출력 재료</v>
      </c>
      <c r="B27" t="str">
        <v>Bambu PETG Basic 흰색 1 kg 리필</v>
      </c>
      <c r="C27">
        <v>1</v>
      </c>
      <c r="D27">
        <v>12750</v>
      </c>
      <c r="E27">
        <v>12750</v>
      </c>
      <c r="F27" t="str">
        <v>Bambu Lab KR 공식 스토어</v>
      </c>
      <c r="G27" t="str">
        <v>흰색 두 번째 1 kg이다. 첫 흰색 스풀(i087)을 다 쓴 뒤 그 빈 스풀에 끼워 나머지 백건(약 0.44 kg)을 뽑는다. 원하면 센서 바 9개(약 0.15 kg)도 여기서 뽑는다.</v>
      </c>
      <c r="H27" t="str">
        <v>https://kr.store.bambulab.com/products/petg-basic</v>
      </c>
    </row>
    <row r="28">
      <c r="A28" t="str">
        <v>3D 출력 재료</v>
      </c>
      <c r="B28" t="str">
        <v>Bambu PETG Basic 검정 1 kg (스풀)</v>
      </c>
      <c r="C28">
        <v>5</v>
      </c>
      <c r="D28">
        <v>16150</v>
      </c>
      <c r="E28">
        <v>80750</v>
      </c>
      <c r="F28" t="str">
        <v>Bambu Lab KR 공식 스토어</v>
      </c>
      <c r="G28" t="str">
        <v>백건을 뺀 나머지 출력물을 뽑는다. 모듈 프레임 7개(서포트 포함 개당 약 372 g), 끝 부속 프레임 2, 흑건 42개(88건반 36 + 예비 6), 레버 캐리어 88개, 패드 바 30, 가림판 띠 9, 봉 끝 마개 9가 여기에 들어간다. 스피커 앞판·그릴·CU 트레이·I/O 판 같은 본체 출력물과, 색이 상관없는 출력 공구 4개·단계 0 시험 키트도 이 색으로 잡았다.</v>
      </c>
      <c r="H28" t="str">
        <v>https://kr.store.bambulab.com/products/petg-basic</v>
      </c>
    </row>
    <row r="29">
      <c r="A29" t="str">
        <v>3D 출력 재료</v>
      </c>
      <c r="B29" t="str">
        <v>Bambu PETG Basic 1 kg 추가분</v>
      </c>
      <c r="C29">
        <v>1</v>
      </c>
      <c r="D29">
        <v>16150</v>
      </c>
      <c r="E29">
        <v>16150</v>
      </c>
      <c r="F29" t="str">
        <v>Bambu Lab KR 공식 스토어</v>
      </c>
      <c r="G29" t="str">
        <v>필라멘트 여유분 1 kg이다. 흰색 2 kg과 검정 5 kg으로 모자라는 몫(주로 검정 약 0.5 kg: 단계 0 키트·출력 공구)과 실패한 출력을 다시 뽑는 데 쓴다. 색은 출력 순서를 보고 정한다. 동전 받침(CT15, 약 2 g)도 여기서 뽑는다.</v>
      </c>
      <c r="H29" t="str">
        <v>https://kr.store.bambulab.com/products/petg-basic</v>
      </c>
    </row>
    <row r="30">
      <c r="A30" t="str">
        <v>제어·전원</v>
      </c>
      <c r="B30" t="str">
        <v>SanDisk Ultra microSD 32GB</v>
      </c>
      <c r="C30">
        <v>1</v>
      </c>
      <c r="D30">
        <v>15490</v>
      </c>
      <c r="E30">
        <v>15490</v>
      </c>
      <c r="F30" t="str">
        <v>다나와 (최저가 판매처)</v>
      </c>
      <c r="G30" t="str">
        <v>PC에서 Raspberry Pi OS Lite를 써 넣고 FluidSynth, Salamander 음원(296 MB), 게임을 담아 Pi 5 뒷면 microSD 슬롯에 1장 꽂는다. Pi는 이 카드로 부팅한다.</v>
      </c>
      <c r="H30" t="str">
        <v>https://prod.danawa.com/info/?pcode=20358155</v>
      </c>
    </row>
    <row r="31">
      <c r="A31" t="str">
        <v>제어·전원</v>
      </c>
      <c r="B31" t="str">
        <v>NEXTU 710U3 10포트 전원형 USB 허브</v>
      </c>
      <c r="C31">
        <v>1</v>
      </c>
      <c r="D31">
        <v>30700</v>
      </c>
      <c r="E31">
        <v>30700</v>
      </c>
      <c r="F31" t="str">
        <v>다나와 (최저가 판매처)</v>
      </c>
      <c r="G31" t="str">
        <v>보조배터리 칸의 뒤 벽에 양면테이프로 1개를 붙인다(길이 228 mm라 CU 칸에 안 들어감). 다운스트림에 모듈 O1~O7 USB 7가닥(W201~W207)과 페달 보드 1가닥(W208)을 꽂고, 업스트림 선(W209)을 Pi 5 USB-A에 꽂는다. 전원은 허브 어댑터 선을 잘라 강압 모듈 5.1 V에 물린다(W604).</v>
      </c>
      <c r="H31" t="str">
        <v>https://prod.danawa.com/info/?pcode=29865749</v>
      </c>
    </row>
    <row r="32">
      <c r="A32" t="str">
        <v>제어·전원</v>
      </c>
      <c r="B32" t="str">
        <v>파워마스터 65W PD 충전기</v>
      </c>
      <c r="C32">
        <v>1</v>
      </c>
      <c r="D32">
        <v>19800</v>
      </c>
      <c r="E32">
        <v>19800</v>
      </c>
      <c r="F32" t="str">
        <v>다나와 (최저가 판매처)</v>
      </c>
      <c r="G32" t="str">
        <v>피아노를 벽 전원으로 쓸 때 콘센트에 꽂고 C23 선으로 I/O 판 USB-C 입력에 잇는다. C1 또는 C2 포트 하나만 쓴다. 제작 중에는 T03 선으로 인두(T01)에도 전원을 준다.</v>
      </c>
      <c r="H32" t="str">
        <v>https://prod.danawa.com/info/?pcode=59074565</v>
      </c>
    </row>
    <row r="33">
      <c r="A33" t="str">
        <v>건반 액션</v>
      </c>
      <c r="B33" t="str">
        <v>DHG 양모 펠트 3T 150×10 cm (v3 부품)</v>
      </c>
      <c r="C33">
        <v>1</v>
      </c>
      <c r="D33">
        <v>5500</v>
      </c>
      <c r="E33">
        <v>5500</v>
      </c>
      <c r="F33" t="str">
        <v>스튜디오분트</v>
      </c>
      <c r="G33" t="str">
        <v>v3에서는 건반 앞 멈춤 펠트 3T(백·흑)와 키퍼 훅 밑 펠트로 썼다. r4.5에서는 앞 펠트가 2T + PU 1T이고 키퍼 펠트가 2T이다. 그래서 3T 펠트를 쓰는 곳이 없다.</v>
      </c>
      <c r="H33" t="str">
        <v>https://studiobunt.com/product/detail.html?product_no=2948</v>
      </c>
    </row>
    <row r="34">
      <c r="A34" t="str">
        <v>페달</v>
      </c>
      <c r="B34" t="str">
        <v>듀로 서스테인 페달 (스위치형)</v>
      </c>
      <c r="C34">
        <v>1</v>
      </c>
      <c r="D34">
        <v>8500</v>
      </c>
      <c r="E34">
        <v>8500</v>
      </c>
      <c r="F34" t="str">
        <v>피아노모아</v>
      </c>
      <c r="G34" t="str">
        <v>책상 앞 바닥에 두는 댐퍼(서스테인) 페달 1개다(R24). 안의 마이크로스위치 배선을 떼고, 발판 밑면 발끝 쪽에 자석 Ø5×2를 S극이 아래로 가게 순간접착제로 붙인다. 바로 아래 바닥판에는 홀센서 DRV5055(표시면 위)·100 nF·1 kΩ을 단 만능기판 자투리(PS)를 붙이고, 3 m 선(L50)으로 I/O 판 페달 잭에 꽂는다.</v>
      </c>
      <c r="H34" t="str">
        <v>https://pianomoa.com/product/%EB%93%80%EB%A1%9C-%ED%94%BC%EC%95%84%EB%85%B8-%ED%8E%98%EB%8B%AC-%EC%84%9C%EC%8A%A4%ED%85%8C%EC%9D%B8-%EC%A0%84%EA%B8%B0%EC%A2%85%ED%98%B8%ED%99%98%EA%B0%80%EB%8A%A5-%EC%A0%84%EC%9E%90%ED%82%A4%EB%B3%B4%EB%93%9C-%EB%94%94%EC%A7%80%ED%84%B8-%ED%94%BC%EC%95%84%EB%85%B8-%EB%8C%90%ED%8D%BC/4117/</v>
      </c>
    </row>
    <row r="35">
      <c r="A35" t="str">
        <v>공구</v>
      </c>
      <c r="B35" t="str">
        <v>Pinecil V2 납땜 인두</v>
      </c>
      <c r="C35">
        <v>1</v>
      </c>
      <c r="D35">
        <v>35200</v>
      </c>
      <c r="E35">
        <v>35200</v>
      </c>
      <c r="F35" t="str">
        <v>PINE STORE (Pine64 공식)</v>
      </c>
      <c r="G35" t="str">
        <v>모든 손 납땜에 쓴다(약 1,500점, 구매 목록 CT5). 센서 기판 7장(홀센서 12·콘덴서·리본), 제어 기판 7장과 페달 보드(RP2040-Zero 핀헤더·먹스·리본), 끝 부속 EL·ER 기판, 페달 센서, 잭 3개, 전원·스피커 선을 납땜한다. 제작 중에는 피아노 벽 충전기(L62, 65 W)로 전원을 받는다.</v>
      </c>
      <c r="H35" t="str">
        <v>https://pine64.com/product/pinecil-smart-mini-portable-soldering-iron/</v>
      </c>
    </row>
    <row r="36">
      <c r="A36" t="str">
        <v>공구</v>
      </c>
      <c r="B36" t="str">
        <v>Pinecil 미니 인두 거치대</v>
      </c>
      <c r="C36">
        <v>1</v>
      </c>
      <c r="D36">
        <v>2690</v>
      </c>
      <c r="E36">
        <v>2690</v>
      </c>
      <c r="F36" t="str">
        <v>PINE STORE (Pine64 공식)</v>
      </c>
      <c r="G36" t="str">
        <v>납땜하는 동안 달군 인두(T01)를 올려 두는 받침이다. 같이 오는 스펀지로 팁을 닦는다. 피아노에는 남지 않는다.</v>
      </c>
      <c r="H36" t="str">
        <v>https://pine64.com/product/pinecil-portable-mini-stand/</v>
      </c>
    </row>
    <row r="37">
      <c r="A37" t="str">
        <v>공구</v>
      </c>
      <c r="B37" t="str">
        <v>Pinecil용 실리콘 USB-C 케이블 1 m</v>
      </c>
      <c r="C37">
        <v>1</v>
      </c>
      <c r="D37">
        <v>4720</v>
      </c>
      <c r="E37">
        <v>4720</v>
      </c>
      <c r="F37" t="str">
        <v>PINE STORE (Pine64 공식)</v>
      </c>
      <c r="G37" t="str">
        <v>Pinecil(T01)을 65 W PD 충전기(L62)에 잇는 전원선이다. 인두에 닿아도 녹지 않는 실리콘 피복이라 납땜 작업대에서 쓴다.</v>
      </c>
      <c r="H37" t="str">
        <v>https://pine64.com/product/usb-type-c-to-usb-type-c-silicone-power-charging-cable-1-meter-length/</v>
      </c>
    </row>
    <row r="38">
      <c r="A38" t="str">
        <v>공구</v>
      </c>
      <c r="B38" t="str">
        <v>후지야 피아노선 니퍼 FKN-150G</v>
      </c>
      <c r="C38">
        <v>1</v>
      </c>
      <c r="D38">
        <v>21989</v>
      </c>
      <c r="E38">
        <v>21989</v>
      </c>
      <c r="F38" t="str">
        <v>나비엠알오</v>
      </c>
      <c r="G38" t="str">
        <v>미스미 비틀림 스프링의 두 다리를 자른다. 긴 다리는 코일 중심에서 22.3 mm(코일을 떠나는 점에서 22.13), 짧은 다리는 코일을 떠나는 점에서 8.0 mm다(DESIGN 4장·10장 4단계). 스프링 100개 × 2 = 200번이고, 실제로 쓰는 92개(건반 88 + 단계 0 시험 4)만 자르면 184번이다.</v>
      </c>
      <c r="H38" t="str">
        <v>https://www.navimro.com/g/3523817/</v>
      </c>
    </row>
    <row r="39">
      <c r="A39" t="str">
        <v>게임</v>
      </c>
      <c r="B39" t="str">
        <v>Pi 공식 micro-HDMI→HDMI 케이블 1 m</v>
      </c>
      <c r="C39">
        <v>1</v>
      </c>
      <c r="D39">
        <v>17050</v>
      </c>
      <c r="E39">
        <v>17050</v>
      </c>
      <c r="F39" t="str">
        <v>엘레파츠</v>
      </c>
      <c r="G39" t="str">
        <v>2단계 리듬게임을 Pi 5에서 돌릴 때(콘솔 모드) Pi 5의 micro-HDMI 포트 하나에서 모니터·TV로 화면을 보낸다. 피아노 소리만 낼 때나 PC 모드로 게임을 할 때는 쓰지 않는다.</v>
      </c>
      <c r="H39" t="str">
        <v>https://www.eleparts.co.kr/goods/view?no=8250328</v>
      </c>
    </row>
    <row r="40">
      <c r="A40" t="str">
        <v>공구</v>
      </c>
      <c r="B40" t="str">
        <v>탭 핸들 (드릴 날 손잡이)</v>
      </c>
      <c r="C40">
        <v>1</v>
      </c>
      <c r="D40">
        <v>5489</v>
      </c>
      <c r="E40">
        <v>5489</v>
      </c>
      <c r="F40" t="str">
        <v>나비엠알오</v>
      </c>
      <c r="G40" t="str">
        <v>Ø4.0 드릴 날(i126)을 끼워 손으로 돌리는 손잡이다. 출력한 레버 허브 88개와 프레임 핀 보스의 Ø3.9 구멍을 Ø4.0으로 다듬을 때(약 130구멍) 쓴다.</v>
      </c>
      <c r="H40" t="str">
        <v>https://www.navimro.com/g/179331/</v>
      </c>
    </row>
  </sheetData>
  <ignoredErrors>
    <ignoredError numberStoredAsText="1" sqref="A1:H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판매처별 주문</vt:lpstr>
      <vt:lpstr>분류별 목록</vt:lpstr>
      <vt:lpstr>뺀 품목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