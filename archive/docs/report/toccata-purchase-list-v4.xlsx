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구매목록" sheetId="1" state="visible" r:id="rId3"/>
    <sheet name="판매처 요약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<sst xmlns="http://schemas.openxmlformats.org/spreadsheetml/2006/main" count="1380" uniqueCount="707">
  <si>
    <t xml:space="preserve">Toccata v4 재료 목록 — 구매 목록(v3.2 절감 선택) + v4 건반 액션(r4.5) + 뒷바 L2·터치스크린 3판(10/1)</t>
  </si>
  <si>
    <t xml:space="preserve">기준: docs/report/toccata-purchase-list.xlsx(v3.2, 고르신 절감 22개) + v4 W1+ 4차 설계 부품(2026-09-27~28 판매처 조사·링크 재검증) + 회로 검토(2026-09-28, hardware/pcb) + r4.4 스프링·니퍼(2026-09-28) + 블록 접착제 MS 폴리머(2026-09-29) + 한 몸 뒷바 L2·터치스크린 3판(2026-10-01, cad/spec/body_L2.json·cad/README.md·touchscreen/rev3). 가격은 VAT·할인 반영(원). 구분: 기본 = 피아노에 들어가는 부품, 소모품 = 제작 중 쓰는 재료, 공구 = 제작용 공구</t>
  </si>
  <si>
    <t xml:space="preserve">사용법: 파란 글씨(단위당 가격·수량·구매 O/X)만 고친다. X로 바꾸면 소계·최종 금액에서 빠진다(줄이 회색). 가격 확인이 "미확인"인 줄은 견적·추정가다.</t>
  </si>
  <si>
    <t xml:space="preserve">No</t>
  </si>
  <si>
    <t xml:space="preserve">부품명</t>
  </si>
  <si>
    <t xml:space="preserve">단위당 가격(원)</t>
  </si>
  <si>
    <t xml:space="preserve">수량</t>
  </si>
  <si>
    <t xml:space="preserve">용도</t>
  </si>
  <si>
    <t xml:space="preserve">예상 가격(원)</t>
  </si>
  <si>
    <t xml:space="preserve">구매 링크</t>
  </si>
  <si>
    <t xml:space="preserve">구분</t>
  </si>
  <si>
    <t xml:space="preserve">구매(O/X)</t>
  </si>
  <si>
    <t xml:space="preserve">판매자</t>
  </si>
  <si>
    <t xml:space="preserve">부품 코드</t>
  </si>
  <si>
    <t xml:space="preserve">비고</t>
  </si>
  <si>
    <t xml:space="preserve">v4 상태</t>
  </si>
  <si>
    <t xml:space="preserve">가격 확인</t>
  </si>
  <si>
    <t xml:space="preserve">■ 아이씨뱅큐</t>
  </si>
  <si>
    <t xml:space="preserve">Raspberry Pi 5 2GB (라즈베리파이 5 2GB Raspberry pi 5)</t>
  </si>
  <si>
    <t xml:space="preserve">FluidSynth 소프트웨어 신스를 돌리고 USB-MIDI 8개(O1~O7, PED) 입력을 한 곳에서 병합하는 중앙 컴퓨터. 소리는 USB 동글(L51)로 내보낸다(R25: HAT 없음, GPIO는 2번(5 V)·6번(GND)만 터치스크린 전원으로 씀 — R31, 회로 개정 C △16)</t>
  </si>
  <si>
    <t xml:space="preserve">https://www.icbanq.com/P016286897</t>
  </si>
  <si>
    <t xml:space="preserve">기본</t>
  </si>
  <si>
    <t xml:space="preserve">O</t>
  </si>
  <si>
    <t xml:space="preserve">아이씨뱅큐</t>
  </si>
  <si>
    <t xml:space="preserve">L01</t>
  </si>
  <si>
    <t xml:space="preserve">유지</t>
  </si>
  <si>
    <t xml:space="preserve">확인</t>
  </si>
  <si>
    <t xml:space="preserve">100W QC PD 트리거 디코이 고정출력 모듈 5V-20V (HAM6113, HUSB238)</t>
  </si>
  <si>
    <t xml:space="preserve">피아노의 전원 입력(USB-C). 벽 충전기(L62)나 보조배터리와 PD로 협상해 20 V를 받아 퓨즈(L60) → 스위치(L59) → 20 V 버스로 보낸다. 10/1 L2: 뒤판 출력물(PR-BACKPLATE)의 HUSB238 주머니(x415.8~426.2 z35.6~40.4)에 끼워 USB-C 입구(13 × 7.5, 바깥면에서 2 안)가 밖을 향한다(R28)</t>
  </si>
  <si>
    <t xml:space="preserve">https://www.icbanq.com/P017179277</t>
  </si>
  <si>
    <t xml:space="preserve">아이씨뱅큐 (제노)</t>
  </si>
  <si>
    <t xml:space="preserve">L57</t>
  </si>
  <si>
    <t xml:space="preserve">10/1 L2: 용도 수정 (I/O 판·CU 트레이 → 뒤판 출력물·J702)</t>
  </si>
  <si>
    <t xml:space="preserve">200W XL4016 DC-DC 강압 컨버터 모듈 IN 4-40V OUT 1.25-36V 5A (HAM6415, XH-M401)</t>
  </si>
  <si>
    <t xml:space="preserve">20 V 버스 → 5.1 V. Pi 5(USB-C 전원선 C24)와 USB 허브(L17, DC 잭)에 전원을 준다. Pi에는 이 5 V만 들어간다(D16). 5 mm 출력 받침 기둥에 M3×5(L76) 4개로 고정(10/1 L2, 6 mm 이상은 기둥 바닥을 뚫음)</t>
  </si>
  <si>
    <t xml:space="preserve">https://www.icbanq.com/P017179502</t>
  </si>
  <si>
    <t xml:space="preserve">L58</t>
  </si>
  <si>
    <t xml:space="preserve">10/1 L2: 용도 수정</t>
  </si>
  <si>
    <t xml:space="preserve">TI DRV5055A2QLPG (TO-92-3 Linear Hall Effect Sensor, LCSC 경유)</t>
  </si>
  <si>
    <t xml:space="preserve">건반 88 + 페달 1 = 89개 사용, 예비 11. 표시면을 위로 눕혀 센서 바 포켓에 넣고 건반 밑 자석(Ø5×2)의 거리를 연속으로 잰다</t>
  </si>
  <si>
    <t xml:space="preserve">https://www.icbanq.com/P018076669</t>
  </si>
  <si>
    <t xml:space="preserve">아이씨뱅큐 (LCSC 해외 재고)</t>
  </si>
  <si>
    <t xml:space="preserve">L20</t>
  </si>
  <si>
    <t xml:space="preserve">핀헤더 1×40 - 2.54MM(S/T) _ 11.5MM(1단몰드)</t>
  </si>
  <si>
    <t xml:space="preserve">4067 먹스 7개 × (16+8)핀 = 168핀 + RP2040-Zero 8개 × 1×9 ×2 = 144핀 → 312핀, 1×40 9줄(360핀)</t>
  </si>
  <si>
    <t xml:space="preserve">https://www.icbanq.com/P005666127</t>
  </si>
  <si>
    <t xml:space="preserve">SE7</t>
  </si>
  <si>
    <t xml:space="preserve">모듈에 수 헤더가 들어 있으면 줄여도 된다</t>
  </si>
  <si>
    <t xml:space="preserve">v4 수량 변경 (5 → 9, 회로 검토)</t>
  </si>
  <si>
    <t xml:space="preserve">Samsung CL31B104KCFNNNE (1206 100nF 100V X7R)</t>
  </si>
  <si>
    <t xml:space="preserve">센서마다 1개(3V3–GND 디커플링, 센서 기판 아랫면) + PED 보드 + 제어 기판 C301 ×7 = 97개 사용, 예비 3</t>
  </si>
  <si>
    <t xml:space="preserve">https://www.icbanq.com/P014968846</t>
  </si>
  <si>
    <t xml:space="preserve">SE4</t>
  </si>
  <si>
    <t xml:space="preserve">삼성 CL31B104KCFNNNE(100 V). 판매처 사진이 안 열려 품번으로 확인</t>
  </si>
  <si>
    <t xml:space="preserve">C3216-10UF(K 16V) — 1206 10 µF 16 V 칩 세라믹 콘덴서 (50개 단위)</t>
  </si>
  <si>
    <t xml:space="preserve">센서 기판 C213·C214 ×7 + 끝 부속 EL C404 + ER C412 = 16개(회로 △1·△3). 34개 남음</t>
  </si>
  <si>
    <t xml:space="preserve">https://www.icbanq.com/P001248090</t>
  </si>
  <si>
    <t xml:space="preserve">아이씨뱅큐 (오렌지반도체)</t>
  </si>
  <si>
    <t xml:space="preserve">L67</t>
  </si>
  <si>
    <t xml:space="preserve">9/28 확인: 6,500원 + VAT = 7,150원, 국내 재고, 1~2일. 제조사·유전체 표기 없음. 주문 제작 상품이라 취소·반품 불가</t>
  </si>
  <si>
    <t xml:space="preserve">v4 신규 (회로 검토)</t>
  </si>
  <si>
    <t xml:space="preserve">Yageo RC1206JR-071KL — 1206 1 kΩ 5 % 1/4 W 칩 저항</t>
  </si>
  <si>
    <t xml:space="preserve">끝 부속 EL R401~R403 + ER R411 = 4개(회로 △13, 기판 아랫면). 10개 단위 판매</t>
  </si>
  <si>
    <t xml:space="preserve">https://www.icbanq.com/P011433924</t>
  </si>
  <si>
    <t xml:space="preserve">아이씨뱅큐 (element14 해외 재고)</t>
  </si>
  <si>
    <t xml:space="preserve">L68</t>
  </si>
  <si>
    <t xml:space="preserve">9/28 확인: 40원 + VAT = 44원, 10개 단위, 해외 재고 4,690개, 4~6일. 해외 재고는 취소·반품 불가</t>
  </si>
  <si>
    <t xml:space="preserve">XH-A232 (HW-404) TPA3110 2채널 앰프 보드 (제노 HAM6104)</t>
  </si>
  <si>
    <t xml:space="preserve">좌우 스피커(L07)를 울리는 D급 앰프. 20 V 버스(PD 트리거 L57 → 퓨즈 → 스위치)에서 8 Ω 채널당 약 21 W. 입력은 J702 기판의 앰프 입력 잭(L15 ③)에서 받는다. 10/1 L2: 허브 위 선반 받침에 M3×6(L35) 4개(받침 + 선반 관통)</t>
  </si>
  <si>
    <t xml:space="preserve">https://www.icbanq.com/P017179248</t>
  </si>
  <si>
    <t xml:space="preserve">L53</t>
  </si>
  <si>
    <t xml:space="preserve">Monolithic Capacitor 1uF X7R 50V (리드형 적층 세라믹)</t>
  </si>
  <si>
    <t xml:space="preserve">앰프 입력의 저음 차단(고역 통과) 필터. 채널마다 1 µF 2개를 병렬(2 µF)로 직렬에 넣고 1 kΩ 풀다운(L29)과 묶어 약 93 Hz 아래를 6 dB/옥타브로 줄인다(D18)</t>
  </si>
  <si>
    <t xml:space="preserve">https://www.icbanq.com/P014159115</t>
  </si>
  <si>
    <t xml:space="preserve">아이씨뱅큐 (동신전자)</t>
  </si>
  <si>
    <t xml:space="preserve">L56</t>
  </si>
  <si>
    <t xml:space="preserve">회로 검토: 용도 수정</t>
  </si>
  <si>
    <t xml:space="preserve">XHHD 육각너트 M3 강철 (LCSC C133377)</t>
  </si>
  <si>
    <t xml:space="preserve">v4: 건반 캡스턴 나사(M3 버튼헤드) 너트 88 + 예비 8, 스피커 브래킷 4</t>
  </si>
  <si>
    <t xml:space="preserve">https://www.icbanq.com/P015976209</t>
  </si>
  <si>
    <t xml:space="preserve">L31</t>
  </si>
  <si>
    <t xml:space="preserve">v4 수량 변경 (75 → 100)</t>
  </si>
  <si>
    <t xml:space="preserve">순간접착제 (814-2010) — V-tech 강력 순간접착제 5g (VT-041)</t>
  </si>
  <si>
    <t xml:space="preserve">센서 자석 Ø5×2·뚜껑 자석을 포켓에 압입한 뒤 한 방울, 건반 봉 끝을 봉 받침에 고정(v4)</t>
  </si>
  <si>
    <t xml:space="preserve">https://www.icbanq.com/P015309984</t>
  </si>
  <si>
    <t xml:space="preserve">소모품</t>
  </si>
  <si>
    <t xml:space="preserve">아이씨뱅큐 (크레텍)</t>
  </si>
  <si>
    <t xml:space="preserve">ME8</t>
  </si>
  <si>
    <t xml:space="preserve">록타이트 401 20 g 대신(ME8). 성분·점도 표기는 페이지에 없다</t>
  </si>
  <si>
    <t xml:space="preserve">[BC256] Coms 스테레오 케이블 3M AUX 3극 Stereo 3.5 M/M 고급포장</t>
  </si>
  <si>
    <t xml:space="preserve">댐퍼 페달 신호선. 한쪽 플러그를 잘라 페달 안 홀센서에 납땜(팁 = 출력, 링 = 3V3, 슬리브 = GND)하고, 다른 쪽은 CU의 PJ-313 잭(L15의 두 번째)에 꽂는다</t>
  </si>
  <si>
    <t xml:space="preserve">https://www.icbanq.com/P004711396</t>
  </si>
  <si>
    <t xml:space="preserve">L50</t>
  </si>
  <si>
    <t xml:space="preserve">AOFENG ISO7380 M3-0.5X6 304 (Hex socket pan head cap screw)</t>
  </si>
  <si>
    <t xml:space="preserve">캡스턴 나사 M3×6 버튼헤드 (너트는 L31 M3 육각너트 카드) — ISO 7380 M3×6 SUS304 버튼헤드, 최소 주문 100개</t>
  </si>
  <si>
    <t xml:space="preserve">https://www.icbanq.com/P015973844</t>
  </si>
  <si>
    <t xml:space="preserve">v4capstan</t>
  </si>
  <si>
    <t xml:space="preserve">9/27 상품 페이지: 10원(VAT 별도) / 11원(VAT 포함), 최소 100개, 100~3,000개 구간 10원, 해외 재고 배송 1주 이내. 상품 사진이 준비 중 이미지라 같은 규격(나사코리아 둥근렌치 M3 SUS304) 사진을 붙였다. 배송비는 v3 아이씨뱅큐 주문과 합배송이라 0원.</t>
  </si>
  <si>
    <t xml:space="preserve">v4 신규 · 너트는 L31에서 한 번만 셈 (9/28 고침)</t>
  </si>
  <si>
    <t xml:space="preserve">배송비 — 아이씨뱅큐</t>
  </si>
  <si>
    <t xml:space="preserve">배송비</t>
  </si>
  <si>
    <t xml:space="preserve">아이씨뱅큐 소계</t>
  </si>
  <si>
    <t xml:space="preserve">■ 엘레파츠</t>
  </si>
  <si>
    <t xml:space="preserve">[ZX Electronics] KCD1-101A BLACK I/O 로커 스위치 (2P ON-OFF, 6A 250VAC / 10A 125VAC)</t>
  </si>
  <si>
    <t xml:space="preserve">피아노 전원 스위치. PD 트리거·퓨즈 뒤 20 V 쪽에 넣어 앰프와 강압 모듈을 함께 켜고 끈다. 10/1 L2: 뒤판 출력물의 2 mm 판 구멍(13.2 × 19.2)에 스냅인으로 끼우고 테두리는 2 mm 오목 자리에 들어가 바깥면과 같은 높이(R28)</t>
  </si>
  <si>
    <t xml:space="preserve">https://www.eleparts.co.kr/goods/view?no=32569</t>
  </si>
  <si>
    <t xml:space="preserve">엘레파츠</t>
  </si>
  <si>
    <t xml:space="preserve">L59</t>
  </si>
  <si>
    <t xml:space="preserve">[Coms] BU914 원형 휴즈 홀더 (5×20 mm, 인라인)</t>
  </si>
  <si>
    <t xml:space="preserve">20 V 버스 보호 퓨즈 홀더. PD 트리거 출력 + 선에 끼워 배선 단락 때 선이 타지 않게 한다</t>
  </si>
  <si>
    <t xml:space="preserve">https://www.eleparts.co.kr/goods/view?no=3237821</t>
  </si>
  <si>
    <t xml:space="preserve">L60</t>
  </si>
  <si>
    <t xml:space="preserve">[LITTELFUSE] 0218005.MXP 5 A 지연형 퓨즈 5×20 mm</t>
  </si>
  <si>
    <t xml:space="preserve">홀더에 넣는 5 A 지연형 퓨즈 1개 + 예비 4개(R28)</t>
  </si>
  <si>
    <t xml:space="preserve">https://www.eleparts.co.kr/goods/view?no=12766820</t>
  </si>
  <si>
    <t xml:space="preserve">최소 5개</t>
  </si>
  <si>
    <t xml:space="preserve">[Coms] [NC888] Coms C타입 MM 꺾임 케이블 1m C to C</t>
  </si>
  <si>
    <t xml:space="preserve">보조배터리 → 피아노 USB-C 입력(L57). 10/1 L2: 보조배터리 +x 끝 USB-C에 꺾인 머리를 위(+z)로 꽂고(USB-C는 뒤집어 꽂을 수 있음), 선은 z55~60으로 +y를 따라 뒤판 케이블 통과(x405 z38)로 내려가 밖에서 PD 입력에 꽂는다. 남는 약 0.65 m는 배터리 위(z51~60.8)에 납작하게 감는다(CAD 10/2 확인). 조건: 보조배터리 USB-C 포트 중심이 바닥에서 약 15.5 mm 이상(아니면 CAD가 배터리 받침 +x 끝벽을 그 자리만 따냄)</t>
  </si>
  <si>
    <t xml:space="preserve">https://www.eleparts.co.kr/goods/view?no=18842596</t>
  </si>
  <si>
    <t xml:space="preserve">C22</t>
  </si>
  <si>
    <t xml:space="preserve">10/2 교체: 주파집 ㄱ자 0.5 m(4,270원)는 업체 직배송이라 개별 배송비 3,000원이 따로 붙고 엘레파츠 무료배송 합계에도 들어가지 않아 Coms NC888(2,363.64원 VAT 별도 → 2,600원, 일반 배송, 평균 발송 3.5일, 1인 1개, C–C 양끝 90° 꺾임)로 바꿈 −4,670원. C–C 선은 규격상 3 A라 20 V × 3 A = 60 W. 페이지에 W 정격·꺾임 면 표기가 없어 받으면 꺾임 방향과 20 V가 나오는지 확인</t>
  </si>
  <si>
    <t xml:space="preserve">10/1 L2 교체: 곧은 0.6 m → ㄱ자 0.5 m · 개별 배송비 3,000원(따로 줄)</t>
  </si>
  <si>
    <t xml:space="preserve">[MachLink] USB-C to C PD 60W 초고속충전 케이블, ML-CPD62 [블랙/2m]</t>
  </si>
  <si>
    <t xml:space="preserve">벽 충전기(L62) → 피아노 USB-C 입력(L57). 제작 중에는 인두(T01) 전원선으로도 쓴다(R28)</t>
  </si>
  <si>
    <t xml:space="preserve">https://www.eleparts.co.kr/goods/view?no=17806170</t>
  </si>
  <si>
    <t xml:space="preserve">C23</t>
  </si>
  <si>
    <t xml:space="preserve">[Coms] [BT663] Coms USB 3.1 Type C 케이블 20cm USB 2.0 A to C타입 측면꺾임 (A 쪽을 잘라 씀)</t>
  </si>
  <si>
    <t xml:space="preserve">5.1 V 강압 모듈(L58) 출력 → Pi 5 USB-C 전원 입력. 10/1 L2: CAD는 Pi −y 가장자리에 측면 꺾임 USB-C 머리 14×13×9 (Z-PI-PWR, x546~560 y249~262 z22~31)를 그리고 선을 −x로 뺐다 — 곧은 플러그는 뚜껑 아래(z61.35)에 들어가지 않는다(CAD README). C 쪽이 옆으로 꺾인 20 cm 선의 A 쪽을 잘라 빨강(+)·검정(−)을 강압 출력 단자에 물리고 흰·초록 데이터선은 잘라 절연한다. USB-C는 앞뒤가 같아 뒤집어 꽂으면 선이 +x로 나온다</t>
  </si>
  <si>
    <t xml:space="preserve">https://www.eleparts.co.kr/goods/view?no=8105815</t>
  </si>
  <si>
    <t xml:space="preserve">C24</t>
  </si>
  <si>
    <t xml:space="preserve">10/1 L2 교체(이전 MAXTEK MT666 DIY 2선, 1,190원 — 상품 사진상 곧은 플러그). 10/1 페이지: 2,318.18원(VAT 별도) → 2,550원, 평균 발송 3.5일(10/08), 1인 1개, 해외재고(개별 배송비 없음). 전원선 굵기는 공개되지 않음 — 20 cm라 3 A에서 약 0.1~0.25 V 떨어진다(추정). Pi 저전압 경고가 뜨면 강압 출력(L58)을 조금 올린다. CAD v16: 머리는 사진 추정 14×12×7로 자리 14×13×9 안, 선은 −x(강압 쪽)로 꽂음 — −x 쪽이 비어 머리가 18까지 길어도 들어간다</t>
  </si>
  <si>
    <t xml:space="preserve">10/1 L2 교체: 곧은 MT666 → 측면 꺾임 C 20 cm (A 쪽을 잘라 씀) · CAD 확인 필요</t>
  </si>
  <si>
    <t xml:space="preserve">[코티니] 컴잇 벨크로 링벨트 케이블 선정리 [2X30cm] 블랙</t>
  </si>
  <si>
    <t xml:space="preserve">10/1 L2: 보조배터리(선택, 105×71×32)를 출력 받침에 묶는 20 mm 벨크로 — 받침 앞·뒤 벽 바닥의 끈 구멍 22 × 3을 지나 배터리 밑·위를 감는다. 보조배터리를 쓰지 않으면 빼도 된다</t>
  </si>
  <si>
    <t xml:space="preserve">https://www.eleparts.co.kr/goods/view?no=12816289</t>
  </si>
  <si>
    <t xml:space="preserve">L79</t>
  </si>
  <si>
    <t xml:space="preserve">10/1 페이지: 784.55원(VAT 별도) → 863원, 평균 발송 2.5일</t>
  </si>
  <si>
    <t xml:space="preserve">10/1 L2 신규</t>
  </si>
  <si>
    <t xml:space="preserve">[Coms] [NA977] Coms USB Type A to Type B 변환 케이블 25cm USB 2.0 A 상향꺾임</t>
  </si>
  <si>
    <t xml:space="preserve">10/1 L2: 허브 업스트림 짧은 선(W209 대신) — Pi 5 위 USB-A ↔ 허브 업스트림. 딸린 0.6 m 곧은 선은 두 플러그 사이 21 mm · 뚜껑 아래 z50 안에 들어가지 않는다. 허브 업스트림은 USB 3.0 B 포트(제품 사진) — USB 2.0 B 플러그도 꽂히고 USB-MIDI 8개에는 USB 2.0으로 충분. CAD v16 확정: Pi 5 GPIO 쪽 USB-A 2단의 아래 포트에 꽂는다(위 포트면 머리 윗면 z57로 뚜껑과 4.35뿐). A가 위로 올라가 R7로 꺾여 허브 선반 위 z56.5에서 U자로 돌고 x650.5에서 내려가 곧은 B로(길이 41 + 169 + 40 = 250). 남는 Pi USB-A는 RJ45 쪽 위 포트 하나. 받으면 꽂아서 A가 위로 꺾이는지 확인(아래로 꺾이는 선은 바닥에 닿아 못 씀)</t>
  </si>
  <si>
    <t xml:space="preserve">https://www.eleparts.co.kr/goods/view?no=4314354</t>
  </si>
  <si>
    <t xml:space="preserve">C25</t>
  </si>
  <si>
    <t xml:space="preserve">10/1 페이지: 1,390.91원(VAT 별도) → 1,530원, 평균 발송 3.5일. 엘레파츠에 "곧은 A + 꺾인 B" 짧은 선이 없어 고름(USB 3.0 A/B 양쪽 측면 꺾임 30 cm IH235는 6,120원)</t>
  </si>
  <si>
    <t xml:space="preserve">10/1 L2 신규 · CAD 확인 필요</t>
  </si>
  <si>
    <t xml:space="preserve">[NA993] Coms USB 3.1 Type C 케이블 1M USB 2.0 A to C타입 White</t>
  </si>
  <si>
    <t xml:space="preserve">모듈 7개 + PED 보드 → 허브 USB 8가닥. 허브에 꽂힌 채 뒷바 아래 케이블 통로에 두고, 설치 때 모듈 쪽만 꽂는다(R27). 모듈 쪽 C 플러그 몰드 ≤ 12.5 × 7.6 × 25(폭 초과 금지)</t>
  </si>
  <si>
    <t xml:space="preserve">https://www.eleparts.co.kr/goods/view?no=4313490</t>
  </si>
  <si>
    <t xml:space="preserve">C04</t>
  </si>
  <si>
    <t xml:space="preserve">NA993은 몰드 두께가 공개되지 않았다. 폭 약 11.3·길이 약 19.5는 사진으로 잰 추정값이다. 단계 0 시험 19(프레임 뒤 조각에 10번 꽂고 빼기)로 확인한다. 10/1 L2: 1 m ×8을 그대로 쓴다(남는 선 약 2.3 m를 앞 공간·통로에 감음). CAD가 권한 짧은 세트(1 m ×2 O1·O2, 0.5 m ×4 O3·O4·O7·PED, 0.3 m ×2 O5·O6, 같은 계열 개당 약 1,300~1,900원 — 사양 추정, 미확인)는 선택이며 사기 전에 끈으로 길이를 잰다</t>
  </si>
  <si>
    <t xml:space="preserve">회로 검토: 용도 수정 · 10/1 L2 메모</t>
  </si>
  <si>
    <t xml:space="preserve">[EUNSUNG] Flat Data Cable 2651-16P (1m단위)</t>
  </si>
  <si>
    <t xml:space="preserve">센서 기판 → 제어 기판 리본 16심 전부(OUT 12 + 3V3 ×2 + GND ×2, 약 180 mm) ×7 + EL·ER 리드 가닥</t>
  </si>
  <si>
    <t xml:space="preserve">https://www.eleparts.co.kr/goods/view?no=425</t>
  </si>
  <si>
    <t xml:space="preserve">C05</t>
  </si>
  <si>
    <t xml:space="preserve">점퍼 단선 대신 리본 가닥으로: 센서 기판 3V3·GND 버스, 제어 기판 링크(SIG·S0~S3·EN), ID 브리지, 기판 배선(듀폰 점퍼 X1 대체)</t>
  </si>
  <si>
    <t xml:space="preserve">SE12</t>
  </si>
  <si>
    <t xml:space="preserve">C05와 같은 품목을 1 m 더 산다. 주문 때 C05와 합쳐 3 m로 담아도 된다</t>
  </si>
  <si>
    <t xml:space="preserve">[엘레파츠] 열수축튜브 530세트 - 프라스틱케이스</t>
  </si>
  <si>
    <t xml:space="preserve">EXT 리드(L66 JST-XH)를 패드에 납땜한 곳, 선 이음, 페달 잭 뒤쪽 절연 + 터치스크린 3판: Waveshare MX1.25→3핀 전원선 이음이 경첩 고리 안에 오면 감쌈(사양 G-4)</t>
  </si>
  <si>
    <t xml:space="preserve">https://www.eleparts.co.kr/goods/view?no=8170311</t>
  </si>
  <si>
    <t xml:space="preserve">C10</t>
  </si>
  <si>
    <t xml:space="preserve">[KzPton] 캡톤테이프 10mm폭x33m</t>
  </si>
  <si>
    <t xml:space="preserve">RP2040-Zero 아래 절연(캡톤 1장), 기판 아랫면 절연 + 10/1 L2·터치스크린 3판: 화면 받침 안 리본 누름 패드 자리(xr26.75~39.45, 사양 C-7)</t>
  </si>
  <si>
    <t xml:space="preserve">https://www.eleparts.co.kr/goods/view?no=557</t>
  </si>
  <si>
    <t xml:space="preserve">C11</t>
  </si>
  <si>
    <t xml:space="preserve">티테크놀로지 케이블타이, 100개 [소/100mm] [블랙] [T-C2510B]</t>
  </si>
  <si>
    <t xml:space="preserve">USB 케이블을 뒷벽 고리에 묶어 당김 방지, EXT 리드(L66) 당김 방지 · 케이블 통로 안 USB 8가닥 묶음(R27)</t>
  </si>
  <si>
    <t xml:space="preserve">https://www.eleparts.co.kr/goods/view?no=9100003</t>
  </si>
  <si>
    <t xml:space="preserve">C12</t>
  </si>
  <si>
    <t xml:space="preserve">[YUN FANG] 유연납 0.8mm 50g</t>
  </si>
  <si>
    <t xml:space="preserve">모듈당 약 200점, 전체 약 1,500점 손 납땜. 코어 플럭스만 쓴다(플럭스 펜 생략, CT22)</t>
  </si>
  <si>
    <t xml:space="preserve">https://www.eleparts.co.kr/goods/view?no=12755646</t>
  </si>
  <si>
    <t xml:space="preserve">CT5</t>
  </si>
  <si>
    <t xml:space="preserve">모자라면 같은 상품을 더 산다(이 주문에 함께 넣으면 배송비 없음)</t>
  </si>
  <si>
    <t xml:space="preserve">[ShenzenAV] 황동 인서트너트 M4x4x6 (내경 M4 · 높이 4 · 외경 6, 열압입)</t>
  </si>
  <si>
    <t xml:space="preserve">10/1 L2: 스피커 출력 앞판(40°)의 유닛 나사 자리 PCD115에 4개씩 × 2 = 8 + 예비 2. CAD 구멍 Ø5.6 × 6.5(M4×6, 바깥 Ø5.6으로 그림)에 바깥 6을 열압입(물림 0.4, 보통 범위). CAD v16은 Ø6 × 4로 그림. M4×12(L70)가 플랜지 4 + 가스켓 3을 지나 5 들어가 인서트보다 1 더, 바닥까지 1.5(가스켓이 약 2로 눌리면 약 0.5). M4×12 이하만 — M4×14면 밀폐면을 뚫는다. 인서트는 면까지만</t>
  </si>
  <si>
    <t xml:space="preserve">https://www.eleparts.co.kr/goods/view?no=11045753</t>
  </si>
  <si>
    <t xml:space="preserve">L69</t>
  </si>
  <si>
    <t xml:space="preserve">10/1 페이지: 개당 80원(VAT 별도) → 88원, M.O.Q 1, 24시간 이내 발송. CAD 크기(M4×6, 바깥 Ø5.6)와 길이·바깥지름이 조금 다르다 — 구멍은 그대로 둔다</t>
  </si>
  <si>
    <t xml:space="preserve">[ABCO] CFR 1/4W 5% 탄소피막 저항 1kΩ (10개 단위)</t>
  </si>
  <si>
    <t xml:space="preserve">1 kΩ ×4: R701·R702(앰프 입력), R501·R551(페달). 6개 남음</t>
  </si>
  <si>
    <t xml:space="preserve">https://www.eleparts.co.kr/goods/view?no=10911</t>
  </si>
  <si>
    <t xml:space="preserve">L29</t>
  </si>
  <si>
    <t xml:space="preserve">10개 단위 판매(M.O.Q 10)</t>
  </si>
  <si>
    <t xml:space="preserve">[ABCO] CFR 1/4W 5% 탄소피막 저항 10kΩ (10개 단위)</t>
  </si>
  <si>
    <t xml:space="preserve">회로에서 쓰지 않음(예비). 빼도 된다</t>
  </si>
  <si>
    <t xml:space="preserve">https://www.eleparts.co.kr/goods/view?no=10951</t>
  </si>
  <si>
    <t xml:space="preserve">[ABCO] CFR 1/4W 5% 탄소피막 저항 100kΩ (10개 단위)</t>
  </si>
  <si>
    <t xml:space="preserve">100 kΩ ×5: R301(O1·O7)·R302·R303(제어 기판), R502(페달). 5개 남음</t>
  </si>
  <si>
    <t xml:space="preserve">https://www.eleparts.co.kr/goods/view?no=10993</t>
  </si>
  <si>
    <t xml:space="preserve">[ABCO] CFR 1/4W 5% 탄소피막 저항 100Ω (10개 단위)</t>
  </si>
  <si>
    <t xml:space="preserve">100 Ω ×5 병렬 = 20 Ω: R503(페달, 필수). 5개 남음</t>
  </si>
  <si>
    <t xml:space="preserve">https://www.eleparts.co.kr/goods/view?no=10873</t>
  </si>
  <si>
    <t xml:space="preserve">[BSUN] PJ-313 3.5Ф 스테레오잭 (이어폰잭)</t>
  </si>
  <si>
    <t xml:space="preserve">① 왼쪽 볼 앞면 헤드폰 잭: 동글(L51) 출력이 팁·링으로 들어오고 팁·링 노멀 접점이 앰프 쪽으로 나간다. 헤드폰을 꽂으면 노멀 접점이 떨어져 스피커가 기계적으로 끊긴다(R15) ② 뒤판 출력물의 댐퍼 페달 잭 J501(Ø6 구멍; J501 기판은 출력물 받침 위에 MS 폴리머, R24) ③ 앰프 입력 잭 J702(J702 기판을 5 mm 받침 기둥에 M3×5(L76) 2개, 화면 뚜껑 아래 — 10/1 L2): 선 ②의 플러그를 받아 저음 차단 RC를 거쳐 앰프(L53) 입력으로 보낸다(R26, 파트 분리)</t>
  </si>
  <si>
    <t xml:space="preserve">https://www.eleparts.co.kr/goods/view?no=67811</t>
  </si>
  <si>
    <t xml:space="preserve">L15</t>
  </si>
  <si>
    <t xml:space="preserve">[Coms] IH190 USB-C(F) → USB-A(M) 변환 젠더 좌향 꺾임</t>
  </si>
  <si>
    <t xml:space="preserve">Apple 동글(USB-C 수)을 Pi 5 USB-A 포트에 꽂는 젠더</t>
  </si>
  <si>
    <t xml:space="preserve">https://www.eleparts.co.kr/goods/view?no=11043038</t>
  </si>
  <si>
    <t xml:space="preserve">L52</t>
  </si>
  <si>
    <t xml:space="preserve">[AMASS] XT30U-M 수 커넥터 18AWG 10cm 실리콘 와이어</t>
  </si>
  <si>
    <t xml:space="preserve">앰프 쪽 스피커선 커넥터(좌우 2개). 통로 양 끝으로 나온 선에 납땜</t>
  </si>
  <si>
    <t xml:space="preserve">https://www.eleparts.co.kr/goods/view?no=12779720</t>
  </si>
  <si>
    <t xml:space="preserve">L61</t>
  </si>
  <si>
    <t xml:space="preserve">[AMASS] XT30U-F 암 커넥터 18AWG 10cm 실리콘 와이어</t>
  </si>
  <si>
    <t xml:space="preserve">스피커 쪽 커넥터(좌우 2개). 스피커 파트 앞판 아래로 나온 선에 납땜</t>
  </si>
  <si>
    <t xml:space="preserve">https://www.eleparts.co.kr/goods/view?no=12779721</t>
  </si>
  <si>
    <t xml:space="preserve">[케이블스토어] 프리즘 국산 스피커케이블 50C 16AWG, 7M [블랙/PRS-50B07]</t>
  </si>
  <si>
    <t xml:space="preserve">앰프(L53) → 통로 → XT30 수(L61) 2쌍(좌우 각 약 0.6 m) + 스피커 파트 안 유닛 → XT30 암(각 약 0.3 m) + 20 V 전원선(PD 트리거 → 퓨즈 → 스위치 → 앰프·강압 모듈, 약 1 m)</t>
  </si>
  <si>
    <t xml:space="preserve">https://www.eleparts.co.kr/goods/view?no=18388615</t>
  </si>
  <si>
    <t xml:space="preserve">C13</t>
  </si>
  <si>
    <t xml:space="preserve">[AV0176] Coms 스테레오 케이블 1.5M AUX 3극 Stereo 3.5 M/M</t>
  </si>
  <si>
    <t xml:space="preserve">① 동글(L51) → 왼쪽 볼 헤드폰 잭(L15 ①) ② 헤드폰 잭 노멀 접점 → J702 앰프 입력 잭(L15 ③, 10/1 L2 가운데 유닛). 두 선 모두 가운데 유닛 쪽 플러그를 남기고 끝 부속 쪽을 잘라 잭에 납땜한다(선이 끝 부속에 붙어 다니고 뒷바를 들 때 동글·J702에서 뽑는다, R26)</t>
  </si>
  <si>
    <t xml:space="preserve">https://www.eleparts.co.kr/goods/view?no=2925673</t>
  </si>
  <si>
    <t xml:space="preserve">C14</t>
  </si>
  <si>
    <t xml:space="preserve">[화성고무] 피스고무발 / 28x5 (RUB-E2)</t>
  </si>
  <si>
    <t xml:space="preserve">스피커 파트 2개(각 4개)와 가운데 유닛(6개)의 고무발 14개 + 예비 6. 10/1 L2: 뒷바를 5 mm 띄우고 발은 모두 통로 뒤(y≥248)에 둔다; 모듈 USB 선은 뒷바 밑 닫힌 통로(y212~241 × z0~27)로 지나간다. 본체와 스피커 진동을 떼어 놓는다(D15)</t>
  </si>
  <si>
    <t xml:space="preserve">https://www.eleparts.co.kr/goods/view?no=16628292</t>
  </si>
  <si>
    <t xml:space="preserve">L14</t>
  </si>
  <si>
    <t xml:space="preserve">[ShenzenAV] 황동 인서트너트 M3x4x4.5 (내경 M3 · 높이 4 · 외경 4.5, 열압입)</t>
  </si>
  <si>
    <t xml:space="preserve">10/1 L2·터치스크린 3판: 화면 뚜껑 이음 레일 2개(SEAM-INS-1~4)의 윗면 y246·y322에 4개 + 예비 2. CAD 구멍 Ø4.0 × 4.5(바깥 Ø4로 그림)에 바깥 4.5를 열압입(물림 0.5, 보통 범위), 길이 4 = CAD 값(v16: Ø4.5 × 4로 그림) → M3×10(L34) 물림 4. 레일을 붙이기 전에 인두로 넣는다</t>
  </si>
  <si>
    <t xml:space="preserve">https://www.eleparts.co.kr/goods/view?no=11045752</t>
  </si>
  <si>
    <t xml:space="preserve">L71</t>
  </si>
  <si>
    <t xml:space="preserve">10/1 페이지: 개당 80원(VAT 별도) → 88원, M.O.Q 1, 24시간 이내 발송. 인서트 길이가 4가 아니면 자리파기 = 11.5 − (10 − 물림)으로 다시(사양 A-7)</t>
  </si>
  <si>
    <t xml:space="preserve">[NAVI] 종이 양면테이프, 백색/48mm/6m</t>
  </si>
  <si>
    <t xml:space="preserve">EVA 바닥 시트와 비접착 3T 펠트를 프레임에 붙인다</t>
  </si>
  <si>
    <t xml:space="preserve">https://www.eleparts.co.kr/goods/view?no=17897439</t>
  </si>
  <si>
    <t xml:space="preserve">ME9</t>
  </si>
  <si>
    <t xml:space="preserve">2롤 → 1롤(ME9)</t>
  </si>
  <si>
    <t xml:space="preserve">[Coms] [NT117] Coms 디지털 테스트기 (DT-832, 9개 항목)</t>
  </si>
  <si>
    <t xml:space="preserve">페달 T–R–S 저항 측정, 잭 핀 확인, 통전 검사, 허브 역급전(Pi 5V 핀 0V) 확인</t>
  </si>
  <si>
    <t xml:space="preserve">https://www.eleparts.co.kr/goods/view?no=6779159</t>
  </si>
  <si>
    <t xml:space="preserve">공구</t>
  </si>
  <si>
    <t xml:space="preserve">CT11</t>
  </si>
  <si>
    <t xml:space="preserve">[Prokit] [CP-301G] PROKIT 정밀 스트리퍼</t>
  </si>
  <si>
    <t xml:space="preserve">리본·단선·점퍼선 등 가는 선(AWG 20~30) 피복 벗기기</t>
  </si>
  <si>
    <t xml:space="preserve">https://www.eleparts.co.kr/goods/view?no=3787704</t>
  </si>
  <si>
    <t xml:space="preserve">CT21</t>
  </si>
  <si>
    <t xml:space="preserve">[JAKEMY] JM-CT2-2 5인치 니퍼</t>
  </si>
  <si>
    <t xml:space="preserve">센서 리드·헤더 핀 자르기, 출력물 다듬기. 16AWG 스피커선 피복도 니퍼 날로 칼집을 내 벗긴다(CT16)</t>
  </si>
  <si>
    <t xml:space="preserve">https://www.eleparts.co.kr/goods/view?no=7663472</t>
  </si>
  <si>
    <t xml:space="preserve">CT13</t>
  </si>
  <si>
    <t xml:space="preserve">[블루텍] 버니어캘리퍼(경제형) NA530-200 (200×0.05)</t>
  </si>
  <si>
    <t xml:space="preserve">리프 두께·훅 높이·164.5 수축 시편·세트스크루 돌출(1.5±0.05)·펠트 두께 측정</t>
  </si>
  <si>
    <t xml:space="preserve">https://www.eleparts.co.kr/goods/view?no=16549359</t>
  </si>
  <si>
    <t xml:space="preserve">CT12</t>
  </si>
  <si>
    <t xml:space="preserve">[CK6930] 코텍스 쇠톱(대) 300mm K-9301</t>
  </si>
  <si>
    <t xml:space="preserve">강철 자르기 공구 (쇠톱·바이메탈 날·평줄·고정 공구) — 프레임 쇠톱, 300 mm 날</t>
  </si>
  <si>
    <t xml:space="preserve">https://www.eleparts.co.kr/goods/view?no=9100747</t>
  </si>
  <si>
    <t xml:space="preserve">v4cuttools</t>
  </si>
  <si>
    <t xml:space="preserve">9/27 엘레파츠 상품 페이지에서 VAT 포함가를 확인했다. 배송 3,000원(공급가 6만 원 이상 무료) — v3 구매 목록의 엘레파츠 주문과 합배송이라 0원으로 둔다. 6,500원.</t>
  </si>
  <si>
    <t xml:space="preserve">v4 신규</t>
  </si>
  <si>
    <t xml:space="preserve">[LENOX] 쇠톱날(USA) 12인치 T2355</t>
  </si>
  <si>
    <t xml:space="preserve">강철 자르기 공구 (쇠톱·바이메탈 날·평줄·고정 공구) — 12인치 쇠톱날(TPI 표기 없음)</t>
  </si>
  <si>
    <t xml:space="preserve">https://www.eleparts.co.kr/goods/view?no=4101973</t>
  </si>
  <si>
    <t xml:space="preserve">9/27 엘레파츠 상품 페이지에서 VAT 포함가를 확인했다. 배송 3,000원(공급가 6만 원 이상 무료) — v3 구매 목록의 엘레파츠 주문과 합배송이라 0원으로 둔다. 2,200원.</t>
  </si>
  <si>
    <t xml:space="preserve">[BD079] Coms 연마봉 평줄 야스리</t>
  </si>
  <si>
    <t xml:space="preserve">강철 자르기 공구 (쇠톱·바이메탈 날·평줄·고정 공구) — 철공용 평줄(합금)</t>
  </si>
  <si>
    <t xml:space="preserve">https://www.eleparts.co.kr/goods/view?no=12185326</t>
  </si>
  <si>
    <t xml:space="preserve">9/27 엘레파츠 상품 페이지에서 VAT 포함가를 확인했다. 배송 3,000원(공급가 6만 원 이상 무료) — v3 구매 목록의 엘레파츠 주문과 합배송이라 0원으로 둔다. 6,800원.</t>
  </si>
  <si>
    <t xml:space="preserve">[PD-374] Prokit 공작물 고정 바이스 / 탁상 바이스</t>
  </si>
  <si>
    <t xml:space="preserve">강철 자르기 공구 (쇠톱·바이메탈 날·평줄·고정 공구) — 책상 모서리에 조이는 소형 바이스</t>
  </si>
  <si>
    <t xml:space="preserve">https://www.eleparts.co.kr/goods/view?no=2923219</t>
  </si>
  <si>
    <t xml:space="preserve">9/27 엘레파츠 상품 페이지에서 VAT 포함가를 확인했다. 배송 3,000원(공급가 6만 원 이상 무료) — v3 구매 목록의 엘레파츠 주문과 합배송이라 0원으로 둔다. 20,000원.</t>
  </si>
  <si>
    <t xml:space="preserve">GUOCONN 0.5*22P*300*B FFC 22핀 0.5 mm 300 mm 반대면(B형) — 5개 묶음</t>
  </si>
  <si>
    <t xml:space="preserve">터치스크린 7인치 (R31) — </t>
  </si>
  <si>
    <t xml:space="preserve">https://www.eleparts.co.kr/goods/view?no=18622271</t>
  </si>
  <si>
    <t xml:space="preserve">v4touch</t>
  </si>
  <si>
    <t xml:space="preserve">Pi 5 CAM/DISP 1 ↔ 화면 22핀. 10/1 3판·L2: 경로 약 256 mm(CAD 모델 254, 사양 256.32 → 여유 약 44~46). 해외재고, 평균 발송 10/21. 최소 주문 5개(나머지 예비)</t>
  </si>
  <si>
    <t xml:space="preserve">R31 신규: 터치스크린 (9/30 추가, 10/1 Waveshare 7-DSI-TOUCH-C 선택) · 10/1 3판·L2: 리본 길·나사 값 고침</t>
  </si>
  <si>
    <t xml:space="preserve">GUOCONN 0.5*22P*300*A FFC 22핀 0.5 mm 300 mm 같은 면(A형) — 5개 묶음 (보험)</t>
  </si>
  <si>
    <t xml:space="preserve">https://www.eleparts.co.kr/goods/view?no=18581287</t>
  </si>
  <si>
    <t xml:space="preserve">보험: 받침 안에서 45° 두 번 접혀 필요한 접점 면이 반대일 수 있다. 틀리면 재주문에 2주가 걸려 함께 산다. 빼면 1,975원 준다</t>
  </si>
  <si>
    <t xml:space="preserve">[엘레파츠] 실리콘 점퍼 케이블 26AWG-RED (20cm, F/F)</t>
  </si>
  <si>
    <t xml:space="preserve">https://www.eleparts.co.kr/goods/view?no=9461190</t>
  </si>
  <si>
    <t xml:space="preserve">화면 5 V 연장 1단(Pi GPIO 2번)</t>
  </si>
  <si>
    <t xml:space="preserve">[엘레파츠] 실리콘 점퍼 케이블 26AWG-BLACK (20cm, F/F)</t>
  </si>
  <si>
    <t xml:space="preserve">https://www.eleparts.co.kr/goods/view?no=9461199</t>
  </si>
  <si>
    <t xml:space="preserve">화면 GND 연장 1단(Pi GPIO 6번)</t>
  </si>
  <si>
    <t xml:space="preserve">[엘레파츠] 실리콘 점퍼 케이블 26AWG-RED (20cm, M/M)</t>
  </si>
  <si>
    <t xml:space="preserve">https://www.eleparts.co.kr/goods/view?no=9756990</t>
  </si>
  <si>
    <t xml:space="preserve">5 V 연장 2단(화면 동봉 전원선의 2.54 하우징에 꽂음)</t>
  </si>
  <si>
    <t xml:space="preserve">[엘레파츠] 실리콘 점퍼 케이블 26AWG-BLACK (20cm, M/M)</t>
  </si>
  <si>
    <t xml:space="preserve">https://www.eleparts.co.kr/goods/view?no=9756998</t>
  </si>
  <si>
    <t xml:space="preserve">GND 연장 2단</t>
  </si>
  <si>
    <t xml:space="preserve">배송비 — 엘레파츠</t>
  </si>
  <si>
    <t xml:space="preserve">엘레파츠 소계</t>
  </si>
  <si>
    <t xml:space="preserve">■ 11번가</t>
  </si>
  <si>
    <t xml:space="preserve">스텐 유두 렌치볼트 M2.5 × 6mm</t>
  </si>
  <si>
    <t xml:space="preserve">Pi 5를 출력 받침 기둥 4개(Ø6 × 6, 구멍 Ø2.2 × 5 — 10/1 L2)에 바로 조이는 나사(4개 + 예비 2). R26으로 황동 스탠드오프(L37)가 빠졌다(비용 절감안 CP7)</t>
  </si>
  <si>
    <t xml:space="preserve">https://www.11st.co.kr/products/4236198413</t>
  </si>
  <si>
    <t xml:space="preserve">굿나잇몰</t>
  </si>
  <si>
    <t xml:space="preserve">L47</t>
  </si>
  <si>
    <t xml:space="preserve">삼미스피커(SAAT) CW-100B25 4인치 풀레인지 8Ω 25W (KS 인증)</t>
  </si>
  <si>
    <t xml:space="preserve">좌우 스피커 유닛 2개(R25: 서브 없음). 스피커 파트(오꾸메 밀폐 상자, 안 부피 2.16 L · 유닛 뺀 2.06 L — 10/1 L2)의 수평에서 40° 기운 출력 앞판에 앞에서 단다(EVA 가스켓 3T + M4×12(L70) 4개 → 앞판 M4 열압입 인서트(L69) PCD115). 축이 가운데 귀와 17.3° 어긋남(W1 한계 20°). 앰프(L53)가 채널당 약 21 W(20 V)를 준다</t>
  </si>
  <si>
    <t xml:space="preserve">https://www.11st.co.kr/products/1565354988</t>
  </si>
  <si>
    <t xml:space="preserve">세운상가새한음향</t>
  </si>
  <si>
    <t xml:space="preserve">L07</t>
  </si>
  <si>
    <t xml:space="preserve">스텐 유두 렌치볼트 M4 × 12mm</t>
  </si>
  <si>
    <t xml:space="preserve">10/1 L2: 스피커 유닛 CW-100B25를 앞판 인서트(L69)에 고정(유닛 플랜지 4 + EVA 가스켓 3을 지나 인서트에 물림), 4 × 2 = 8 + 예비 2. M4×12보다 긴 나사 금지(아래 구멍 밑 밀폐면 2.78 mm). 육각 렌치 2.5 mm(T11)</t>
  </si>
  <si>
    <t xml:space="preserve">L70</t>
  </si>
  <si>
    <t xml:space="preserve">10/1 옵션 값: 유두 M4 12mm 80원. 같은 상품의 옵션, 굿나잇몰 묶음배송</t>
  </si>
  <si>
    <t xml:space="preserve">두유레디 구름솜 300g (100% 국내산 할로우화이버)</t>
  </si>
  <si>
    <t xml:space="preserve">밀폐 스피커 상자 2개의 흡음재. 10/1 L2(W1 조건): 상자마다 약 35 g을 상자 전체에 느슨하게, 바깥 끝 100 mm에 모으고 유닛 뒤 10 mm·폴 벤트 축 10 mm는 비운다. 300 g이라 충분</t>
  </si>
  <si>
    <t xml:space="preserve">https://www.11st.co.kr/products/2325598213</t>
  </si>
  <si>
    <t xml:space="preserve">두유레디</t>
  </si>
  <si>
    <t xml:space="preserve">L12</t>
  </si>
  <si>
    <t xml:space="preserve">스텐 둥근머리 직결피스 8호(Ø4.2) 13mm</t>
  </si>
  <si>
    <t xml:space="preserve">10/1 L2: 고무발 14개 고정 + 예비 6 (둥근머리 13 mm는 고무발에만 쓴다). 16 mm 이상은 스피커 밀폐 바닥을 뚫으므로 13 mm 이하(발 머리 자리 Ø9×2 가정 → 발 3 + 합판 10 물림). L1의 도브테일·CU 트레이·XT30 받침은 없어졌고, 뒤판 출력물·보조배터리 받침은 접시머리(L77), 허브 선반 받침은 M3×12 태핑(L78), 이음 레일·XT30 집게는 MS 폴리머로 붙인다</t>
  </si>
  <si>
    <t xml:space="preserve">https://www.11st.co.kr/products/4353471537</t>
  </si>
  <si>
    <t xml:space="preserve">L49</t>
  </si>
  <si>
    <t xml:space="preserve">같은 상품의 옵션. 굿나잇몰 묶음배송(주문 화면에서 묶음 여부 확인). 10/1 L2 수량 54 → 20</t>
  </si>
  <si>
    <t xml:space="preserve">10/1 L2 수량 변경 (54 → 20)</t>
  </si>
  <si>
    <t xml:space="preserve">스텐 둥근머리 직결피스 8호(Ø4.2) 19mm</t>
  </si>
  <si>
    <t xml:space="preserve">PETG 그릴 8곳 고정(그릴마다 4개, 떨리지 않게 모두). 10/1 L2: 19 mm 이하 — 25 mm는 앞판 아래 파일럿 끝 2.15 mm 밑 밀폐면을 뚫는다</t>
  </si>
  <si>
    <t xml:space="preserve">같은 상품의 옵션. 굿나잇몰 묶음배송(주문 화면에서 묶음 여부 확인)</t>
  </si>
  <si>
    <t xml:space="preserve">10/1 L2: 용도 수정 (19 mm 이하)</t>
  </si>
  <si>
    <t xml:space="preserve">스텐 접시머리 직결피스 8호(Ø4.2) 13mm</t>
  </si>
  <si>
    <t xml:space="preserve">10/1 L2: 뒤판 출력물(PR-BACKPLATE) 바닥 탭 2 + 보조배터리 받침 4 = 6 + 예비 2. 구멍의 접시 자리는 모델에 있다(L49는 둥근머리)</t>
  </si>
  <si>
    <t xml:space="preserve">https://www.11st.co.kr/products/4350230243</t>
  </si>
  <si>
    <t xml:space="preserve">L77</t>
  </si>
  <si>
    <t xml:space="preserve">10/1 옵션 값: 4.2mm×13mm 40원(같은 판매자의 접시머리 직결피스 상품). 굿나잇몰 묶음배송(주문 화면에서 묶음 여부 확인)</t>
  </si>
  <si>
    <t xml:space="preserve">스텐 트러스 태핑 피스 1종 M3 × 12mm</t>
  </si>
  <si>
    <t xml:space="preserve">10/1 L2: 허브 위 앰프 선반의 받침 2개를 가운데 뒤판(오꾸메)에 고정(받침 10 × 8에 8호가 들어가지 않음), 2 + 예비 2. CAD는 "Ø3 × 12~13 둥근머리 목재 나사, 머리 Ø6 이하" — 트러스 머리 약 Ø6이라 받으면 머리 자리를 확인</t>
  </si>
  <si>
    <t xml:space="preserve">https://www.11st.co.kr/products/4236198586</t>
  </si>
  <si>
    <t xml:space="preserve">L78</t>
  </si>
  <si>
    <t xml:space="preserve">10/1 옵션 값: M3 12mm 50원(판매가 40 + 10). 굿나잇몰 묶음배송</t>
  </si>
  <si>
    <t xml:space="preserve">스텐 유두 렌치볼트 M3 × 10mm</t>
  </si>
  <si>
    <t xml:space="preserve">센서 바·센서 기판을 왼쪽 받침 기둥에 고정(모듈 7 + 끝 부속 2 = 9곳 × 2 = 18, PETG 구멍에 직접 탭) + 10/1 L2·터치스크린 3판: 화면 뚜껑(CU-SCREENLID)을 이음 레일의 M3 열압입 인서트(L71) 4곳에 고정(앞 y246 2 · 뒤 y322 2, 자리파기 Ø6.5 × 5.5, 인서트 물림 4) + 예비 6 = 28. L2에서 CU 트레이 부품 나사 14개는 M3×5(L76)·M3×6(L35)로 바뀌고 토글 래치(L64) 8개는 없어졌다</t>
  </si>
  <si>
    <t xml:space="preserve">L34</t>
  </si>
  <si>
    <t xml:space="preserve">10/1 L2 수량 54 → 28 (R31 2판의 "CU 뚜껑 앞 모서리 2곳 + 예비 2"는 3판에서 레일 인서트 4곳으로 바뀜)</t>
  </si>
  <si>
    <t xml:space="preserve">10/1 L2 수량 변경 (54 → 28)</t>
  </si>
  <si>
    <t xml:space="preserve">스텐 유두 렌치볼트 M3 × 16mm</t>
  </si>
  <si>
    <t xml:space="preserve">10/1 L2: 방진 브래킷 BRK2-L/R을 끝 부속 볼 뒷면 M3 자리(볼 속 너트 L31)에 그로밋(L42) + M4 와셔(L36)로 고정, 2 × 2 = 4 + 예비 2. M3×10은 볼 속 너트에 닿지 않는다(L1부터 빠져 있던 줄). 육각 렌치 2 mm(T04), 스피커를 올리기 전에 조임</t>
  </si>
  <si>
    <t xml:space="preserve">L75</t>
  </si>
  <si>
    <t xml:space="preserve">10/1 옵션 값: 유두 M3 16mm 90원. 같은 상품의 옵션, 굿나잇몰 묶음배송</t>
  </si>
  <si>
    <t xml:space="preserve">스텐 유두 렌치볼트 M3 × 5mm</t>
  </si>
  <si>
    <t xml:space="preserve">10/1 L2: 가운데 유닛 보드를 5 mm 출력 받침 기둥(구멍 Ø2.5~2.7 × 4, 바닥 1.0)에 직접 탭 — 강압 모듈 4 · J702 잭 기판 2 · PED 보드 2 = 8 + 예비 2. 6 mm 이상은 기둥 바닥을 뚫고 붙인 기둥을 밀어 올린다(L1의 CU 트레이 M3×10 대신)</t>
  </si>
  <si>
    <t xml:space="preserve">L76</t>
  </si>
  <si>
    <t xml:space="preserve">10/1 옵션 값: 유두 M3 5mm 40원. 같은 상품의 옵션, 굿나잇몰 묶음배송</t>
  </si>
  <si>
    <t xml:space="preserve">스텐 유두 렌치볼트 M3 × 6mm</t>
  </si>
  <si>
    <t xml:space="preserve">제어 기판을 프레임의 매단 보스 4개에 고정 — 모듈마다 대각 2곳을 밑에서 나사로 조임(7 × 2 = 14 + 예비 6), 나머지 2곳은 보스의 위치 핀. r4.5: 바닥 구멍으로 기판을 밑에서 넣음. 스텐 유두(ISO 7380, 머리 Ø5.7 × 1.65) + 10/1 L2: 앰프 보드(XH-A232)를 선반 받침에 4개(받침 + 선반 관통, PETG 직접 탭) → 24</t>
  </si>
  <si>
    <t xml:space="preserve">L35</t>
  </si>
  <si>
    <t xml:space="preserve">10/1 L2 수량 변경 (20 → 24, 앰프 4)</t>
  </si>
  <si>
    <t xml:space="preserve">스텐 와셔 M4x9x0.5T</t>
  </si>
  <si>
    <t xml:space="preserve">고무발 고정 피스 머리 밑 와셔 14 + 10/1 L2: BRK2 방진 브래킷의 M3×16(L75) 머리 밑 4 + 예비 2 (v4: 클램프 나사용 32개는 빠짐)</t>
  </si>
  <si>
    <t xml:space="preserve">L36</t>
  </si>
  <si>
    <t xml:space="preserve">v4 수량 변경 (60 → 20) · 10/1 L2: 용도 수정</t>
  </si>
  <si>
    <t xml:space="preserve">에바폼 EVA 컬러 고밀도 칼라스펀지 3T (E-210 검정, 330×490)</t>
  </si>
  <si>
    <t xml:space="preserve">모듈 7개·끝 부속 2개 바닥 전체에 붙이는 3T 시트(164×211 한 장씩). 남는 조각은 스피커 유닛 가스켓과 가운데 유닛 ↔ 스피커 파트 맞닿는 면의 띠(R26)</t>
  </si>
  <si>
    <t xml:space="preserve">https://www.11st.co.kr/products/7591566666</t>
  </si>
  <si>
    <t xml:space="preserve">상우아트</t>
  </si>
  <si>
    <t xml:space="preserve">MEV1</t>
  </si>
  <si>
    <t xml:space="preserve">상우아트 묶음배송</t>
  </si>
  <si>
    <t xml:space="preserve">[대원] 얇은 칼라펠트지 H 두께0.5mm 접착 30x45cm (H-20 검정)</t>
  </si>
  <si>
    <t xml:space="preserve">가이드 탭 양옆 부싱(0.5T, 모듈당 24조각)과, 2겹으로 겹친 뒤 스톱 펠트(1T, y138~144)</t>
  </si>
  <si>
    <t xml:space="preserve">https://www.11st.co.kr/products/8517880969</t>
  </si>
  <si>
    <t xml:space="preserve">EVA와 같은 판매자라 묶음배송</t>
  </si>
  <si>
    <t xml:space="preserve">텅스텐 퍼티 소프트 싱커 무게추 (낚시용, 22 g)</t>
  </si>
  <si>
    <t xml:space="preserve">무거운 건반만 낮추는 건반별 무게 미세 조정(필요할 때만, 백 ≤6 g·흑 ≤2.5 g)</t>
  </si>
  <si>
    <t xml:space="preserve">https://www.11st.co.kr/products/9579455646</t>
  </si>
  <si>
    <t xml:space="preserve">골드그로브</t>
  </si>
  <si>
    <t xml:space="preserve">ME14</t>
  </si>
  <si>
    <t xml:space="preserve">육각 렌치 2.5mm (볼트 상품 옵션)</t>
  </si>
  <si>
    <t xml:space="preserve">M3 렌치볼트 조이기</t>
  </si>
  <si>
    <t xml:space="preserve">T11</t>
  </si>
  <si>
    <t xml:space="preserve">육각 렌치 2 mm (볼트 상품 옵션)</t>
  </si>
  <si>
    <t xml:space="preserve">v4 캡스턴 M3 버튼헤드 조정용</t>
  </si>
  <si>
    <t xml:space="preserve">T04</t>
  </si>
  <si>
    <t xml:space="preserve">v4에서 추가 (세트스크루용 1.5 mm 대신)</t>
  </si>
  <si>
    <t xml:space="preserve">[onezaze] 스텐환봉 절단판매 1M (4mm)</t>
  </si>
  <si>
    <t xml:space="preserve">건반 봉 SUS304 Ø4 × 161.4 — SUS 환봉 Ø4 × 1000 mm</t>
  </si>
  <si>
    <t xml:space="preserve">https://www.11st.co.kr/products/1304631510</t>
  </si>
  <si>
    <t xml:space="preserve">onezaze</t>
  </si>
  <si>
    <t xml:space="preserve">v4keyrod</t>
  </si>
  <si>
    <t xml:space="preserve">9/27 상품 페이지에서 1,500원, 배송비 3,500원, 재고 충분(99,997,144)을 확인했다. 봉 1 = 161.4 ×6 + 20.4, 봉 2 = 161.4 ×2 + 43.9(나머지 약 630 mm 남음).</t>
  </si>
  <si>
    <t xml:space="preserve">레버 봉 SUS304 Ø4 × 161.4 (h9) — 건반 봉과 같은 봉 — SUS 환봉 Ø4 × 1000 mm</t>
  </si>
  <si>
    <t xml:space="preserve">v4levershaft</t>
  </si>
  <si>
    <t xml:space="preserve">9/27 11번가 상품 페이지에서 1,500원(옵션 없음), 배송비 3,500원(한진택배, 9/29 도착 예정)을 확인했다. 건반 봉 카드(keyrod)의 현재 안과 같은 상품·가게라 한 주문으로 묶으면 배송비 3,500원이 한 번만 든다. 페이지에 공차(h9) 표기는 없다 — 받은 뒤 마이크로미터로 3.97~4.00 확인.</t>
  </si>
  <si>
    <t xml:space="preserve">[대원] 얇은 칼라펠트지 H 0.5mm 접착 30×45cm (v3 L40 재사용)</t>
  </si>
  <si>
    <t xml:space="preserve">부싱 천 0.5T (스냅 노치·밸런스 핀 홈·가이드 탭) — 0.5T 폴리에스터 공예 펠트, 접착, 30×45 cm</t>
  </si>
  <si>
    <t xml:space="preserve">v4cloth</t>
  </si>
  <si>
    <t xml:space="preserve">9/27 11번가 페이지에서 1,500원/장, 재고 있음, 배송비 3,000원(7만 원 이상 무료)을 확인했다. 이미 v3 목록 L40(2장)에 들어 있으므로 여기서는 0원으로 잡았다. v3에서 L40의 한 용도였던 뒤 스톱 2겹 띠가 W1+에서 없어져, 약 250 cm²(1T·1.5T를 L40으로 겹치는 펠트 대안을 고르면 +약 250 cm²)만 쓴다. 2장 대신 1장만 사도 된다(v3 L40 줄에서 1,500원 절감).</t>
  </si>
  <si>
    <t xml:space="preserve">크레타칼라 흑연파우더(소/30ml)</t>
  </si>
  <si>
    <t xml:space="preserve">흑연 가루 (캡스턴이 닿는 펠트 면) — 미술용 흑연 가루 30 ml</t>
  </si>
  <si>
    <t xml:space="preserve">https://www.11st.co.kr/products/1333385437</t>
  </si>
  <si>
    <t xml:space="preserve">비젼몰</t>
  </si>
  <si>
    <t xml:space="preserve">v4graphite</t>
  </si>
  <si>
    <t xml:space="preserve">9/27 페이지: 2,750원, 재고 있음, 배송비 3,000원(8만 원 이상 무료), 9/29 도착 예정. 11번가 다른 판매자의 30 ml는 3,960원 이상이었다.</t>
  </si>
  <si>
    <t xml:space="preserve">세메다인 슈퍼X 8008 탄성접착제 백색 20 mL (AX-022)</t>
  </si>
  <si>
    <t xml:space="preserve">MS 폴리머 탄성 접착제 — 강철 블록을 레버 캐리어에 붙임 — 1액형 습기 경화 MS 폴리머(변성 실리콘) 탄성 접착제, 20 mL 튜브, 백색</t>
  </si>
  <si>
    <t xml:space="preserve">https://www.11st.co.kr/products/7459325704</t>
  </si>
  <si>
    <t xml:space="preserve">주영종합상사</t>
  </si>
  <si>
    <t xml:space="preserve">v4msbond</t>
  </si>
  <si>
    <t xml:space="preserve">9/29 페이지: 8,000원(VAT 포함), 배송비 3,000원(주문 1번), 판매 중, 9/30 도착 예정. 재고 수량은 나오지 않는다.</t>
  </si>
  <si>
    <t xml:space="preserve">r4.4 고침 2b: 강철 블록 접착 — 에폭시 → MS 폴리머 (9/29)</t>
  </si>
  <si>
    <t xml:space="preserve">스텐 유두 렌치볼트 M3 × 20 mm (굿나잇몰, 기존 볼트 주문에 옵션 추가)</t>
  </si>
  <si>
    <t xml:space="preserve">경첩 축 2 + 받침다리 축 1 + 예비 1, PETG 구멍에 직접 탭(ISO 7380, 렌치 2 mm). 10/1 옵션 값 확인: 유두 M3 20mm 70원(이전 추정 100원)</t>
  </si>
  <si>
    <t xml:space="preserve">스텐 유두 렌치볼트 M2.5 × 6 mm (굿나잇몰, 기존 볼트 주문에 옵션 추가)</t>
  </si>
  <si>
    <t xml:space="preserve">화면 뒷면 네 귀 M2.5 구멍(154 × 88)을 받침 뒤판에 고정(보스 Ø8, 물림 3). 받은 뒤 구멍 깊이를 재서 길이 확인(사양 G-2). 10/1 옵션 값 확인: 유두 M2.5 6mm 200원(이전 추정 100원) — Pi용 L47과 같은 옵션</t>
  </si>
  <si>
    <t xml:space="preserve">배송비 — 굿나잇몰</t>
  </si>
  <si>
    <t xml:space="preserve">배송비 — 세운상가새한음향</t>
  </si>
  <si>
    <t xml:space="preserve">배송비 — 두유레디</t>
  </si>
  <si>
    <t xml:space="preserve">배송비 — 상우아트</t>
  </si>
  <si>
    <t xml:space="preserve">배송비 — onezaze</t>
  </si>
  <si>
    <t xml:space="preserve">배송비 — 비젼몰</t>
  </si>
  <si>
    <t xml:space="preserve">배송비 — 주영종합상사</t>
  </si>
  <si>
    <t xml:space="preserve">11번가 소계</t>
  </si>
  <si>
    <t xml:space="preserve">■ 메카솔루션</t>
  </si>
  <si>
    <t xml:space="preserve">라즈베리파이5 방열판 / 5B 전용 / 알루미늄 (4개 세트)</t>
  </si>
  <si>
    <t xml:space="preserve">SoC·메모리·RP1·이더넷 칩의 열을 뺀다. 팬 없는 저높이 스티커형(R25 이후 위에 HAT이 없어 높이 제한도 없다)</t>
  </si>
  <si>
    <t xml:space="preserve">https://www.mechasolution.com/goods/goods_view.php?goodsNo=605179</t>
  </si>
  <si>
    <t xml:space="preserve">메카솔루션</t>
  </si>
  <si>
    <t xml:space="preserve">L02</t>
  </si>
  <si>
    <t xml:space="preserve">PCB기판/양면기판/에폭시/프로토보드 (12x18cm)</t>
  </si>
  <si>
    <t xml:space="preserve">센서 기판(162×15.24mm, 6행) 띠를 잘라 낸다. 1장에서 약 6띠 → 2장으로 모듈 7개 + 끝 부속 2개분</t>
  </si>
  <si>
    <t xml:space="preserve">https://www.mechasolution.com/goods/goods_view.php?goodsNo=540645</t>
  </si>
  <si>
    <t xml:space="preserve">L22</t>
  </si>
  <si>
    <t xml:space="preserve">PCB기판/양면기판/에폭시/프로토보드 (5x7cm)</t>
  </si>
  <si>
    <t xml:space="preserve">모듈 제어 기판(RP2040-Zero + 4067) 7장 + PED 보드 1장. 자투리는 PJ-313 받침</t>
  </si>
  <si>
    <t xml:space="preserve">https://www.mechasolution.com/goods/goods_view.php?goodsNo=329798</t>
  </si>
  <si>
    <t xml:space="preserve">SE8</t>
  </si>
  <si>
    <t xml:space="preserve">L02·L22와 같은 주문</t>
  </si>
  <si>
    <t xml:space="preserve">배송비 — 메카솔루션</t>
  </si>
  <si>
    <t xml:space="preserve">메카솔루션 소계</t>
  </si>
  <si>
    <t xml:space="preserve">■ 파츠파츠 직영몰</t>
  </si>
  <si>
    <t xml:space="preserve">(PP-A799-2) 라즈베리 파이 피코 PICO RP2040-ZERO</t>
  </si>
  <si>
    <t xml:space="preserve">모듈마다 1개(O1~O7) + 페달 보드 1개, 예비 없음. 4067 먹스를 스캔해 속도를 계산하고 USB-MIDI 장치('Toccata O1'~'O7', 'Toccata PED')가 된다. 안쪽 구멍 핀 헤더 1×9 ×2(몰드 뺌)로 제어 기판에 납땜, 캡톤 위 약 +1.3 mm</t>
  </si>
  <si>
    <t xml:space="preserve">https://parts-parts.co.kr/product/detail.html?product_no=2383</t>
  </si>
  <si>
    <t xml:space="preserve">파츠파츠 (동신전자)</t>
  </si>
  <si>
    <t xml:space="preserve">SEV2</t>
  </si>
  <si>
    <t xml:space="preserve">예비 없음(SEV2)</t>
  </si>
  <si>
    <t xml:space="preserve">(PP-A324) 16채널 아날로그/디지털 멀티플렉서 모듈</t>
  </si>
  <si>
    <t xml:space="preserve">모듈마다 1개, 예비 없음. 홀센서 12개(C0~C11)와 끝 부속 EXT 4채널(C12~C15)을 RP2040 ADC 한 채널로 읽는다; 제어 기판에 직접 납땜(SE7)</t>
  </si>
  <si>
    <t xml:space="preserve">https://parts-parts.co.kr/product/detail.html?product_no=303</t>
  </si>
  <si>
    <t xml:space="preserve">합배송</t>
  </si>
  <si>
    <t xml:space="preserve">배송비 — 파츠파츠</t>
  </si>
  <si>
    <t xml:space="preserve">파츠파츠 직영몰 소계</t>
  </si>
  <si>
    <t xml:space="preserve">■ Bambu Lab KR 공식 스토어</t>
  </si>
  <si>
    <t xml:space="preserve">Bambu Lab PETG Basic 화이트(30106) 스풀 포함 1kg</t>
  </si>
  <si>
    <t xml:space="preserve">백건 콤 7개 + 끝 부속 백건 콤 + 흰색 리프 쿠폰 + 센서 바(남는 흰색으로)</t>
  </si>
  <si>
    <t xml:space="preserve">https://kr.store.bambulab.com/products/petg-basic</t>
  </si>
  <si>
    <t xml:space="preserve">Bambu Lab</t>
  </si>
  <si>
    <t xml:space="preserve">CT2</t>
  </si>
  <si>
    <t xml:space="preserve">4개 이상 구매 시 15% 할인가</t>
  </si>
  <si>
    <t xml:space="preserve">Bambu Lab PETG Basic 화이트(30106) 리필 1kg</t>
  </si>
  <si>
    <t xml:space="preserve">흰색 두 번째 1 kg. 첫 흰색 스풀을 다 쓴 뒤 그 스풀에 끼운다</t>
  </si>
  <si>
    <t xml:space="preserve">Bambu Lab PETG Basic 블랙(30105) 스풀 포함 1kg</t>
  </si>
  <si>
    <t xml:space="preserve">v4: 프레임·레버 캐리어·흑건·커버 등. v4 출력물이 약 6.5 kg(서포트 포함)으로 늘어 블랙 2 kg 추가(3 → 5)</t>
  </si>
  <si>
    <t xml:space="preserve">검정 리필은 품절이라 스풀 포함. 4개 이상 15% 할인가</t>
  </si>
  <si>
    <t xml:space="preserve">v4 수량 변경 (3 → 5)</t>
  </si>
  <si>
    <t xml:space="preserve">Bambu Lab PETG Basic 스풀 포함 1kg 추가 (흰색 또는 검정)</t>
  </si>
  <si>
    <t xml:space="preserve">R26 출력물 증가분(가운데 유닛 부품, 보관함 등) — 도면집 자동 보정 항목</t>
  </si>
  <si>
    <t xml:space="preserve">CT2+</t>
  </si>
  <si>
    <t xml:space="preserve">색은 출력 순서를 보고 정한다. 동전 받침(CT15)도 여기서 출력. 10/1 L2: 뒷바 출력물 약 1.16 kg(L1 출력물을 빼서 대략 같음, 사양 추정) + 터치스크린 3판 출력물 약 98 g이 이 스풀 안에 든다고 본다. 모자라면 1 kg 스풀 16,150원 추가</t>
  </si>
  <si>
    <t xml:space="preserve">배송비 — Bambu Lab KR 공식 스토어</t>
  </si>
  <si>
    <t xml:space="preserve">Bambu Lab KR 공식 스토어 소계</t>
  </si>
  <si>
    <t xml:space="preserve">■ 다나와 (최저가 판매처)</t>
  </si>
  <si>
    <t xml:space="preserve">SanDisk micro SD Ultra 2022 32GB (SDSQUA4-032G-GN6MA)</t>
  </si>
  <si>
    <t xml:space="preserve">Raspberry Pi OS Lite, FluidSynth, Salamander 음원(SF2 296MB)을 담는 부팅 카드</t>
  </si>
  <si>
    <t xml:space="preserve">https://prod.danawa.com/info/?pcode=20358155</t>
  </si>
  <si>
    <t xml:space="preserve">다나와 최저가 판매처</t>
  </si>
  <si>
    <t xml:space="preserve">L03</t>
  </si>
  <si>
    <t xml:space="preserve">다나와에서 최저가 판매처로 이동해 구매. 판매처·가격이 바뀔 수 있다</t>
  </si>
  <si>
    <t xml:space="preserve">이지넷유비쿼터스 NEXTU 유우젠 710U3 (10포트/USB 3.0, 유전원)</t>
  </si>
  <si>
    <t xml:space="preserve">모듈 7개 + PED의 USB-MIDI를 Pi 5 USB 한 포트로 모은다. 전원은 본체 5.1 V 강압 모듈(L58)에서 DC 잭으로 받는다(허브에 딸린 5 V 3 A 어댑터 선을 잘라 플러그 쪽을 쓴다). 10/1 L2: 가운데 유닛 F칸 바닥에 뒤판에 붙여 놓고 포트는 앞(−y), 위에 앰프 선반. 딸린 0.6 m 업스트림 선(곧은 플러그)은 뚜껑 아래(z61.35)에 들어가지 않아 짧은 선(C25)을 쓴다</t>
  </si>
  <si>
    <t xml:space="preserve">https://prod.danawa.com/info/?pcode=29865749</t>
  </si>
  <si>
    <t xml:space="preserve">다나와 최저가 (쿠팡 로켓배송)</t>
  </si>
  <si>
    <t xml:space="preserve">L17</t>
  </si>
  <si>
    <t xml:space="preserve">다나와에서 최저가 판매처로 이동해 구매. 10/1 L2 확인: 제품 사진상 업스트림은 USB 3.0 B 포트이고 DC 잭이 같은 끝면에 있다 (CAD v16: 업스트림 B 포트와 DC 잭을 둘 다 −x 끝면(Pi·강압 쪽)에 그림, B y319 · DC y293 · z28.5, 5 V 선 약 225 — 포트 자리는 사진 추정). DC 플러그(CAD v16): ㄱ자가 꼭 필요하지는 않다 — 딸린 곧은 플러그가 잭 면에서 32 mm 이내(몰딩 + 부트)이고 바로 뒤에서 R5쯤 위로 꺾을 수 있으면 쓴다. 32 mm보다 길면 IH190 젠더에 닿으니, 허브 잭 규격(5.5×2.1 / 5.5×2.5 / 3.5×1.35)과 배럴 길이를 재서 같은 규격 ㄱ자 DC 플러그 선을 산다(그때 값 추가)</t>
  </si>
  <si>
    <t xml:space="preserve">10/1 L2: 용도 수정 · CAD 확인 필요 (DC 플러그 ㄱ자)</t>
  </si>
  <si>
    <t xml:space="preserve">파워마스터 PD PPS 65W 3포트 GaN 접지형 충전기 PG65PDG2C1A (케이블미포함)</t>
  </si>
  <si>
    <t xml:space="preserve">벽 전원. 피아노 뒤판 출력물의 USB-C 입력(L57, 10/1 L2)에 2 m C-C 선(C23)으로 잇는다. C1 또는 C2 포트 하나만 쓴다(두 포트를 함께 쓰면 45 W로 줄어 최대 음량에서 모자람). 제작 중에는 같은 충전기로 인두(T01)를 쓴다(R28)</t>
  </si>
  <si>
    <t xml:space="preserve">https://prod.danawa.com/info/?pcode=59074565</t>
  </si>
  <si>
    <t xml:space="preserve">L62</t>
  </si>
  <si>
    <t xml:space="preserve">다나와에서 최저가 판매처로 이동해 구매</t>
  </si>
  <si>
    <t xml:space="preserve">배송비 — 다나와 최저가 판매처</t>
  </si>
  <si>
    <t xml:space="preserve">다나와 (최저가 판매처) 소계</t>
  </si>
  <si>
    <t xml:space="preserve">■ 동진나무공장</t>
  </si>
  <si>
    <t xml:space="preserve">무료배송 오꾸메 합판 400×1200×11.5mm 무료재단</t>
  </si>
  <si>
    <t xml:space="preserve">스피커 파트 2개와 가운데 유닛의 판 16조각을 이 한 장에서 재단한다(10/1 L2, 앞판 40°: 스피커 외형 273×128.5×z5~144.65, 안 부피 2.16 L). 스피커 옆판 128.5×139.65 ×4(40° 사선·앞 턱·통로 홈 27×22는 직접 톱으로), 뒤판 250×139.65 ×2, 윗판 250×14.14 ×2, 아랫판 250×90 ×2, 가운데 끝벽 117×56.35 ×2(ㄴ자 홈), 가운데 뒤판 702×56.35, 아랫판 679×90, 뚜껑 L·R 241×128.5 ×2. 배치 1181.8×385(톱날 3 mm 포함). 출처: body_L2.json plywood_cut_list</t>
  </si>
  <si>
    <t xml:space="preserve">https://namugongjang.com/product/detail.html?product_no=1378</t>
  </si>
  <si>
    <t xml:space="preserve">동진나무공장</t>
  </si>
  <si>
    <t xml:space="preserve">L10</t>
  </si>
  <si>
    <t xml:space="preserve">무료재단·무료배송. 10/1 L2: 가게에 직사각형 16조각 배치를 맡기고 사선·홈·창은 직접 자른다. 가게가 이 배치를 못 하면 600×1200(이전 L63, 22,520원)을 다시 산다</t>
  </si>
  <si>
    <t xml:space="preserve">동진나무공장 소계</t>
  </si>
  <si>
    <t xml:space="preserve">■ 대건상사</t>
  </si>
  <si>
    <t xml:space="preserve">초강력 네오디움 원형자석 5mm (Ø5×2.0T, N35)</t>
  </si>
  <si>
    <t xml:space="preserve">건반 밑면 포켓에 압입하는 센서용 자석(S극 아래). 건반 88 + 페달 1 = 89개 사용, 예비 11</t>
  </si>
  <si>
    <t xml:space="preserve">https://dgmagnet.com/product/%EC%B4%88%EA%B0%95%EB%A0%A5-%EB%84%A4%EC%98%A4%EB%94%94%EC%9B%80-%EC%9B%90%ED%98%95%EC%9E%90%EC%84%9D-5mm/13/</t>
  </si>
  <si>
    <t xml:space="preserve">대건상사</t>
  </si>
  <si>
    <t xml:space="preserve">L21</t>
  </si>
  <si>
    <t xml:space="preserve">초강력 네오디움 원형자석 8mm — 3.0T (Ø8×3mm, N35)</t>
  </si>
  <si>
    <t xml:space="preserve">10/1 L2: 가운데 유닛 뚜껑 L·R(오꾸메) 2장을 붙여 두는 자석, 뚜껑마다 3쌍(뒤판 윗모서리 2 · 끝벽 윗모서리 1) = 12개 + 예비 2. 가운데 화면 뚜껑은 M3×10(L34) 4개로 고정하고 자석을 쓰지 않는다(D14). 극이 서로 당기게 순간접착제(ME8)로 붙인다</t>
  </si>
  <si>
    <t xml:space="preserve">https://dgmagnet.com/product/detail.html?product_no=17</t>
  </si>
  <si>
    <t xml:space="preserve">L65</t>
  </si>
  <si>
    <t xml:space="preserve">옵션 3.0T 선택</t>
  </si>
  <si>
    <t xml:space="preserve">배송비 — 대건상사</t>
  </si>
  <si>
    <t xml:space="preserve">대건상사 소계</t>
  </si>
  <si>
    <t xml:space="preserve">■ 알씨뱅크</t>
  </si>
  <si>
    <t xml:space="preserve">리튬폴리머 배터리 밸런스잭 연장선 5셀용 (JST-XH 6핀 수↔암, BU-LP 5S, 200mm)</t>
  </si>
  <si>
    <t xml:space="preserve">끝 부속 ↔ O1·O7 센서 선 6가닥을 잇는 잠금형 커넥터 2쌍. 200 mm 연장선을 모듈 쪽 150 · 끝 부속 쪽 50으로 잘라 수·암 리드 1쌍으로 쓴다(압착 공구 불필요, R26)</t>
  </si>
  <si>
    <t xml:space="preserve">https://www.rcbank.co.kr/shop/goods/goods_view.php?goodsno=29812</t>
  </si>
  <si>
    <t xml:space="preserve">알씨뱅크</t>
  </si>
  <si>
    <t xml:space="preserve">L66</t>
  </si>
  <si>
    <t xml:space="preserve">알씨뱅크 M3 진동 방지 댐퍼 (20개, Ø6 × 8.6 mm, 허리 홈 FC 댐퍼형)</t>
  </si>
  <si>
    <t xml:space="preserve">10/1 L2: 방진 브래킷 BRK2-L/R(세운 핀 Ø6 z14~24)을 끝 부속 볼 뒷면 M3 자리 2곳씩에 고정하는 그로밋 4개 (M3×16(L75) + M4 와셔(L36), 스피커를 올리기 전에 조임). 스피커는 핀에 얹히고 무게는 바닥 고무발이 받친다. 16개 남음</t>
  </si>
  <si>
    <t xml:space="preserve">https://www.rcbank.co.kr/shop/goods/goods_view.php?goodsno=67110</t>
  </si>
  <si>
    <t xml:space="preserve">L42</t>
  </si>
  <si>
    <t xml:space="preserve">9/30 판매처 변경(이전 AliExpress WorldBridge 3,040원, 해외 배송). 알씨뱅크는 L66 연장선 주문과 같이 와서 배송비가 더 들지 않는다</t>
  </si>
  <si>
    <t xml:space="preserve">배송비 — 알씨뱅크</t>
  </si>
  <si>
    <t xml:space="preserve">알씨뱅크 소계</t>
  </si>
  <si>
    <t xml:space="preserve">■ 스튜디오분트</t>
  </si>
  <si>
    <t xml:space="preserve">[DHG] 3mm 대폭 양모펠트지 150×10cm</t>
  </si>
  <si>
    <t xml:space="preserve">건반 앞 멈춤 펠트 3T(백·흑)와 키퍼 훅 밑 펠트. v4에서도 그대로 쓴다</t>
  </si>
  <si>
    <t xml:space="preserve">https://studiobunt.com/product/detail.html?product_no=2948</t>
  </si>
  <si>
    <t xml:space="preserve">스튜디오분트</t>
  </si>
  <si>
    <t xml:space="preserve">L39</t>
  </si>
  <si>
    <t xml:space="preserve">100% 메리노양모 70수 펠트지 2mm 20×30cm (35 블랙)</t>
  </si>
  <si>
    <t xml:space="preserve">양모 펠트 2T·1T·1.5T (캡스턴 띠, 앞 펠트, 키퍼, 패드 윗면, 쉼 펠트) — 울 100 %, 2 mm, 20×30 cm 1장</t>
  </si>
  <si>
    <t xml:space="preserve">https://studiobunt.com/product/detail.html?product_no=4117</t>
  </si>
  <si>
    <t xml:space="preserve">v4felt2</t>
  </si>
  <si>
    <t xml:space="preserve">9/27 상품 페이지 다시 확인: 판매가 13,800원, 요약 "20*30cm, 100% wool", 41색 중 너트·베이비핑크·딥그레이멜란지·오트밀·비리디언만 품절(35 블랙·33 화이트 재고 있음). 배송비 3,000원, 5만 원 이상 무료. 같은 가게의 v3 L39(DHG 3T) 줄에 배송비 3,000원이 이미 있어 여기서는 0원.</t>
  </si>
  <si>
    <t xml:space="preserve">100% 메리노양모 70수 펠트지 1mm 20×30cm (80 블랙)</t>
  </si>
  <si>
    <t xml:space="preserve">양모 펠트 2T·1T·1.5T (캡스턴 띠, 앞 펠트, 키퍼, 패드 윗면, 쉼 펠트) — 울 100 %, 1 mm, 20×30 cm 1장</t>
  </si>
  <si>
    <t xml:space="preserve">https://studiobunt.com/product/detail.html?product_no=1157</t>
  </si>
  <si>
    <t xml:space="preserve">9/27 페이지: 판매가 6,900원, 요약 "20*30cm, 100% wool", 119색 중 아이보리·베이비옐로우·네이비·마쉬멜로우만 품절(80 블랙·76 화이트 재고 있음). 2T와 같은 주문이라 배송비 추가 없음. 1.5T 쉼 펠트는 이 1T 위에 L40 0.5T를 한 겹 붙여 만든다.</t>
  </si>
  <si>
    <t xml:space="preserve">배송비 — 스튜디오분트</t>
  </si>
  <si>
    <t xml:space="preserve">스튜디오분트 소계</t>
  </si>
  <si>
    <t xml:space="preserve">■ 피아노모아</t>
  </si>
  <si>
    <t xml:space="preserve">듀로 피아노 페달 서스테인 (스위치형) — 홀센서 연속형 개조</t>
  </si>
  <si>
    <t xml:space="preserve">댐퍼(서스테인) 페달 1개(R24). 안의 스위치를 떼고 예비 홀센서·자석을 달아 CC64를 0~127 연속값(하프페달)으로 보낸다</t>
  </si>
  <si>
    <t xml:space="preserve">https://pianomoa.com/product/%EB%93%80%EB%A1%9C-%ED%94%BC%EC%95%84%EB%85%B8-%ED%8E%98%EB%8B%AC-%EC%84%9C%EC%8A%A4%ED%85%8C%EC%9D%B8-%EC%A0%84%EA%B8%B0%EC%A2%85%ED%98%B8%ED%99%98%EA%B0%80%EB%8A%A5-%EC%A0%84%EC%9E%90%ED%82%A4%EB%B3%B4%EB%93%9C-%EB%94%94%EC%A7%80%ED%84%B8-%ED%94%BC%EC%95%84%EB%85%B8-%EB%8C%90%ED%8D%BC/4117/</t>
  </si>
  <si>
    <t xml:space="preserve">피아노모아</t>
  </si>
  <si>
    <t xml:space="preserve">L43</t>
  </si>
  <si>
    <t xml:space="preserve">배송비 — 피아노모아</t>
  </si>
  <si>
    <t xml:space="preserve">피아노모아 소계</t>
  </si>
  <si>
    <t xml:space="preserve">■ Apple Store 온라인</t>
  </si>
  <si>
    <t xml:space="preserve">Apple USB-C–3.5mm 헤드폰 잭 어댑터 (MW2Q3KH/A)</t>
  </si>
  <si>
    <t xml:space="preserve">USB DAC 겸 헤드폰 앰프. 젠더(L52)로 Pi 5 USB-A 포트에 직결해 소리를 아날로그로 바꾼다. 출력은 헤드폰 잭(L15)을 거쳐 앰프(L53)로 간다</t>
  </si>
  <si>
    <t xml:space="preserve">https://www.apple.com/kr/shop/product/mw2q3kh/a</t>
  </si>
  <si>
    <t xml:space="preserve">Apple</t>
  </si>
  <si>
    <t xml:space="preserve">L51</t>
  </si>
  <si>
    <t xml:space="preserve">Apple Store 온라인 소계</t>
  </si>
  <si>
    <t xml:space="preserve">■ PINE STORE (Pine64 공식)</t>
  </si>
  <si>
    <t xml:space="preserve">PINECIL – Smart Mini Portable Soldering Iron (Version 2)</t>
  </si>
  <si>
    <t xml:space="preserve">제어 기판·센서 기판 손 납땜 + 10/1 L2: 열압입 인서트 12개(스피커 앞판 M4 8 · 화면 뚜껑 레일 M3 4, 예비 따로)를 기본 팁으로 넣는다(인서트 윗면을 판 면과 같게, 더 밀어 넣지 않음)</t>
  </si>
  <si>
    <t xml:space="preserve">https://pine64.com/product/pinecil-smart-mini-portable-soldering-iron/</t>
  </si>
  <si>
    <t xml:space="preserve">PINE STORE</t>
  </si>
  <si>
    <t xml:space="preserve">T01</t>
  </si>
  <si>
    <t xml:space="preserve">해외 직구. 배송비는 아래 줄</t>
  </si>
  <si>
    <t xml:space="preserve">10/1 L2: 용도 수정 (인서트 12개)</t>
  </si>
  <si>
    <t xml:space="preserve">PINECIL Portable Mini Stand</t>
  </si>
  <si>
    <t xml:space="preserve">인두 거치대</t>
  </si>
  <si>
    <t xml:space="preserve">https://pine64.com/product/pinecil-portable-mini-stand/</t>
  </si>
  <si>
    <t xml:space="preserve">T02</t>
  </si>
  <si>
    <t xml:space="preserve">USB TYPE-C TO USB TYPE-C SILICONE POWER CHARGING CABLE - 1 meter</t>
  </si>
  <si>
    <t xml:space="preserve">Pinecil(T01)과 65 W PD 충전기(L62, 피아노 벽 전원)를 잇는 실리콘 C-C 케이블. 제작 중에는 피아노 충전기를 인두 전원으로 쓴다(R26)</t>
  </si>
  <si>
    <t xml:space="preserve">https://pine64.com/product/usb-type-c-to-usb-type-c-silicone-power-charging-cable-1-meter-length/</t>
  </si>
  <si>
    <t xml:space="preserve">T03</t>
  </si>
  <si>
    <t xml:space="preserve">배송비 — PINE STORE</t>
  </si>
  <si>
    <t xml:space="preserve">PINE STORE (Pine64 공식) 소계</t>
  </si>
  <si>
    <t xml:space="preserve">■ 무료 (다운로드)</t>
  </si>
  <si>
    <t xml:space="preserve">FluidSynth 2.6.1</t>
  </si>
  <si>
    <t xml:space="preserve">기본 피아노 엔진(0원). midi.autoconnect=1로 USB-MIDI 8개 입력을 한 곳에서 병합하고 ALSA hw:로 USB 동글(L51)에 출력, 출력 리미터 synth.limiter.active=1(D18)</t>
  </si>
  <si>
    <t xml:space="preserve">https://www.fluidsynth.org/</t>
  </si>
  <si>
    <t xml:space="preserve">FluidSynth</t>
  </si>
  <si>
    <t xml:space="preserve">L45</t>
  </si>
  <si>
    <t xml:space="preserve">구매 없음</t>
  </si>
  <si>
    <t xml:space="preserve">Salamander Grand Piano V3 (FreePats SF2판)</t>
  </si>
  <si>
    <t xml:space="preserve">FluidSynth에 넣는 무료 그랜드 피아노 음원</t>
  </si>
  <si>
    <t xml:space="preserve">https://freepats.zenvoid.org/Piano/acoustic-grand-piano.html</t>
  </si>
  <si>
    <t xml:space="preserve">FreePats</t>
  </si>
  <si>
    <t xml:space="preserve">L46</t>
  </si>
  <si>
    <t xml:space="preserve">무료 (다운로드) 소계</t>
  </si>
  <si>
    <t xml:space="preserve">■ 나사코리아 nasakorea.com</t>
  </si>
  <si>
    <t xml:space="preserve">평로렛 손잡이볼트 M4×20 스텐304 (5개, 머리 Ø8 × 6)</t>
  </si>
  <si>
    <t xml:space="preserve">10/1 L2: 스피커 ↔ 가운데 유닛 결합 — 가운데 안에서 끝벽의 고무 슬리브(L74)를 지나 스피커 안쪽 옆판의 M4 목재 인서트(L73)로, 한쪽 2개 × 2 = 4 + 예비 1. 머리는 슬리브 끝에만 닿는다(D15). CAD v16: M4×20 = 인서트 물림 4, 최대 M4×22(물림 6, 끝이 바닥보다 2 위) — 더 길면 밀폐 판을 뚫는다. 손으로 돌림(공구 없이 스피커를 뗌)</t>
  </si>
  <si>
    <t xml:space="preserve">https://nasakorea.com/goods/goods_view.php?goodsNo=6090</t>
  </si>
  <si>
    <t xml:space="preserve">나사코리아 nasakorea.com</t>
  </si>
  <si>
    <t xml:space="preserve">L72</t>
  </si>
  <si>
    <t xml:space="preserve">10/1 페이지: 판매가 100원 + 옵션 "4*20/5개/스텐304" 6,600원 = 6,700원. 머리 Ø8 × 6(판매 사진 표) — CAD 머리 자리 Ø10 × 6.5 안. 밸런스 핀(v4pins) 주문과 같이 와서 배송비가 더 들지 않는다</t>
  </si>
  <si>
    <t xml:space="preserve">다올핀 M2*6~20 STS304 GB119.1(ISO2338) — 옵션 2*12/100개/스텐STS304</t>
  </si>
  <si>
    <t xml:space="preserve">밸런스 핀 ISO 2338 Ø2×12 SUS (위치 핀 없음) — SUS304 평행 핀 Ø2 × 12, 100개 (판매가 100 + 옵션 16,500원)</t>
  </si>
  <si>
    <t xml:space="preserve">https://www.nasakorea.com/goods/goods_view.php?goodsNo=6009</t>
  </si>
  <si>
    <t xml:space="preserve">v4pins</t>
  </si>
  <si>
    <t xml:space="preserve">9/27 상품 페이지 옵션 목록에서 "2*12/100개/스텐STS304 : +16,500원"(품절 표시 없음)과 판매가 100원을 확인했다. 배송비 3,300원, 판매가+옵션가 10만 원 이상 무료. 10개 봉은 2,850원이라 10봉(28,500원)보다 100개 봉이 싸다.</t>
  </si>
  <si>
    <t xml:space="preserve">배송비 — 나사코리아 nasakorea.com</t>
  </si>
  <si>
    <t xml:space="preserve">나사코리아 nasakorea.com 소계</t>
  </si>
  <si>
    <t xml:space="preserve">■ 나비엠알오</t>
  </si>
  <si>
    <t xml:space="preserve">[Norelem] 셀프 태핑 나사산 인서트 07653-04 (스틸, 컷팅 보어) M4 · 겉지름 6.5 · 길이 6 (K94534159)</t>
  </si>
  <si>
    <t xml:space="preserve">10/1 L2: 스피커 안쪽 옆판(오꾸메 11.5)의 가운데 쪽 면에 2개씩 × 2 = 4 + 예비 1, 손잡이볼트(L72)가 물림. CAD v16 구멍 Ø6.0 × 8(깊이 멈춤, 밑 판 3.5). 이 인서트는 길이 6 · 최소 구멍 깊이 8(제조사)이라 8 깊이 구멍에 맞고, 컷팅 보어형이라 슬롯형(07652)처럼 나사를 잠그지 않아 손잡이볼트를 손으로 풀 수 있다. M4×20 물림 4, M4×22 물림 6(= 인서트 길이). 구멍은 오꾸메 자투리에 Ø5.8부터 시험하고 헐거우면 Ø5.5(나무는 눌림)</t>
  </si>
  <si>
    <t xml:space="preserve">https://www.navimro.com/g/3544290/</t>
  </si>
  <si>
    <t xml:space="preserve">나비엠알오</t>
  </si>
  <si>
    <t xml:space="preserve">L73</t>
  </si>
  <si>
    <t xml:space="preserve">10/1 CAD v16: 목재 퀵서트 전장 10(이전 L73, 572원)은 구멍 깊이 10이면 드릴 끝이 밀폐 판을 뚫어 쓸 수 없음 → 8 이하로. 10/1 페이지: 1,590원(VAT 별도) → 1,749원, 1EA, 10/26 출하 예정, 반품 불가 주문품. 나비엠알오 공급가 55,690원으로 무료배송 유지. 대안: 이전 L73(전장 10)의 슬롯 없는 위쪽 끝을 쇠톱으로 2 mm 잘라 씀(추가 0원) · 쿠팡 티알인서트 3020-040 M4×8 슬롯 260원(10/6 도착, 배송비 3,300) — 슬롯형은 최소 깊이 10이라 8 깊이 구멍에서 끝까지 안 들어갈 수 있음</t>
  </si>
  <si>
    <t xml:space="preserve">10/1 L2 신규 · CAD 확인 필요 (길이·구멍 지름)</t>
  </si>
  <si>
    <t xml:space="preserve">[나비엠알오] 진공 실리콘 튜브 내경 4 · 외경 8 · 1 m 투명 (SL.STSM4, K15538680)</t>
  </si>
  <si>
    <t xml:space="preserve">10/1 L2: 고무 슬리브 — 13 mm로 4개 잘라 가운데 유닛 끝벽의 Ø8 구멍에 끼우고 손잡이볼트(L72)가 지나간다(쇠가 나무·출력물에 닿지 않게, D15). CAD의 "고무 호스 OD8 ID4.2" 대신. 남는 약 0.95 m는 예비</t>
  </si>
  <si>
    <t xml:space="preserve">https://www.navimro.com/g/312592/?k=K15538680</t>
  </si>
  <si>
    <t xml:space="preserve">L74</t>
  </si>
  <si>
    <t xml:space="preserve">10/1 페이지: 2,690원(VAT 별도) → 2,959원, 1 m, 국산, 10/02 출하. 10/1 L2 고침: 엘레파츠 [NAVI] 같은 상품 3,210원에서 옮김 — 나비엠알오 주문이 공급가 47,650 → 50,340원이 되어 기본 배송비 3,300원(5만 원 미만에만)이 빠진다</t>
  </si>
  <si>
    <t xml:space="preserve">10/1 L2 신규 · 판매처 엘레파츠 → 나비엠알오(고침, 나비엠알오 배송비 0)</t>
  </si>
  <si>
    <t xml:space="preserve">[오공] 목공용 수성 접착제 205본드 800 g (나비엠알오 K01424797)</t>
  </si>
  <si>
    <t xml:space="preserve">스피커 상자 2개(옆판·뒤판·윗판·아랫판, 안 부피 2.16 L ×2)와 가운데 유닛(아랫판·끝벽 2·뒤판) 접합, 출력 통로 틀·앞판 둘레 밀봉 (앞판 아래면은 MS 폴리머). 10/1 L2: 합판 11장 → 스피커 10 + 가운데 4. 합판끼리는 나사 없이 본드로만 붙이고 마스킹테이프로 눌러 굳힌다. 판 구멍·홈·사선 가공은 따로 한다(Ø4 줄 구멍 홈 38개, Ø6·Ø8·Ø14 구멍, 목재 인서트 막힌 구멍, 자석 자리 Ø8 × 3.2 12곳, 40° 사선·27 × 22 홈·뒤판 창 — 공구는 메모·선택기 v4wood)</t>
  </si>
  <si>
    <t xml:space="preserve">https://www.navimro.com/g/395062/</t>
  </si>
  <si>
    <t xml:space="preserve">SP6</t>
  </si>
  <si>
    <t xml:space="preserve">9/30 판매처 변경(이전 11번가 2,840원 + 배송 2,500원). 나비엠알오는 PORON·하네나이트 주문에 묶여 배송비가 더 들지 않는다. 800 g 품번 K01424797을 고른다</t>
  </si>
  <si>
    <t xml:space="preserve">10/1 L2: 용도 수정 (판 가공은 따로)</t>
  </si>
  <si>
    <t xml:space="preserve">[와키(WAKI)] PORON 스폰지 접착 부착 PON-02 (100×100×5, 검정, 아크릴 점착)</t>
  </si>
  <si>
    <t xml:space="preserve">업스톱 패드 폼 6T (미세셀 우레탄, 25 % 압축 0.36 MPa) + 앞 펠트 밑 PU 1T — INOAC PORON 미세셀 우레탄 5T, 100 × 100, 한 면 점착 — 6×12 패드 128개분</t>
  </si>
  <si>
    <t xml:space="preserve">https://www.navimro.com/g/1028764/</t>
  </si>
  <si>
    <t xml:space="preserve">v4pu</t>
  </si>
  <si>
    <t xml:space="preserve">9/27 나비엠알오 규격표에서 PON-02(K41576125) 3,090원(VAT 포함 3,399원), 10/12 출하 예정, 해외직수입·반품 불가·관부가세 없음을 확인. 등급(경도·압축 하중)은 페이지에 없다. 나비엠알오 기본 배송비 3,300원(VAT 포함), 5만 원(VAT 별도) 이상 무료. 드릴·공구 카드의 나비엠알오 안과 배송비를 나눈다.</t>
  </si>
  <si>
    <t xml:space="preserve">[와키(WAKI)] 충격흡수재 하네나이트 HNT002 (170×245×1, 검정)</t>
  </si>
  <si>
    <t xml:space="preserve">업스톱 패드 폼 6T (미세셀 우레탄, 25 % 압축 0.36 MPa) + 앞 펠트 밑 PU 1T — 저반발 제진 고무 1T(나비 표기 재질 NBR), 170 × 245 — 앞 펠트 밑 띠(백 8.3 · 흑 4.5 × 약 1,235 mm)</t>
  </si>
  <si>
    <t xml:space="preserve">https://www.navimro.com/g/1029233/</t>
  </si>
  <si>
    <t xml:space="preserve">9/27 규격표에서 HNT002(K41587651) 14,990원(VAT 포함 16,489원), 10/07 출하 예정, 해외직수입·반품 불가 확인. 제조사(내외고무) 자료: 상온 반발 탄성 10 % 미만. 나비엠알오 기본 배송비 3,300원(VAT 포함), 5만 원(VAT 별도) 이상 무료. 드릴·공구 카드의 나비엠알오 안과 배송비를 나눈다.</t>
  </si>
  <si>
    <t xml:space="preserve">[카피어랜드] OHP 필름 (A4) 흑백 레이저용 1PK (나비엠알오 K02664266)</t>
  </si>
  <si>
    <t xml:space="preserve">PET 심 0.1 mm (OHP 필름 6×12) — 업스톱 시점 조정 — A4 OHP 필름(흑백 레이저용) — 페이지에 두께·매수 표기 없음, 받으면 0.1 mm인지 확인</t>
  </si>
  <si>
    <t xml:space="preserve">https://www.navimro.com/g/37021/</t>
  </si>
  <si>
    <t xml:space="preserve">v4shim</t>
  </si>
  <si>
    <t xml:space="preserve">9/30 판매처 변경(이전 11번가 핑블샵 5,980원). 페이지에 두께·매수 표기가 없다 → 받으면 캘리퍼로 0.1 mm인지 확인(PET 심 한 장 = 0.1 mm가 설계값)</t>
  </si>
  <si>
    <t xml:space="preserve">[나비엠알오] 스트레이트 드릴 SD 4.0</t>
  </si>
  <si>
    <t xml:space="preserve">Ø4.0 HSS 드릴 — 레버 허브·핀 보스 구멍 다듬기 — HSS(M2) Ø4.0, 날장 55, 전장 84, 1EA, 중국산</t>
  </si>
  <si>
    <t xml:space="preserve">https://www.navimro.com/g/171100/</t>
  </si>
  <si>
    <t xml:space="preserve">v4drill4</t>
  </si>
  <si>
    <t xml:space="preserve">9/27 규격표에서 SD 4.0 1EA(K11176355) 900원(VAT 포함 990원), 9/28 출하 예정 확인(10개 팩은 5,049원). 나비엠알오 기본 배송비 3,300원(VAT 포함), 5만 원(VAT 별도) 이상 무료. 드릴·공구 카드의 나비엠알오 안과 배송비를 나눈다.</t>
  </si>
  <si>
    <t xml:space="preserve">[후지야] 편심강력 니퍼 FKN-150G (150 mm, 피아노선 1.0 · 철선 2.0 · 동선 3.0)</t>
  </si>
  <si>
    <t xml:space="preserve">경선용(피아노선) 니퍼 — 스프링 다리 자르기 — 피아노선 1.0 mm 정격 — SUS304-WPB 0.5 mm 스프링 다리 200번</t>
  </si>
  <si>
    <t xml:space="preserve">https://www.navimro.com/g/3523817/</t>
  </si>
  <si>
    <t xml:space="preserve">v4wirecut</t>
  </si>
  <si>
    <t xml:space="preserve">9/28 페이지: 19,990원(VAT 별도) → 21,989원. 해외 직수입, 10/06 출하 예정, 반품 불가.</t>
  </si>
  <si>
    <t xml:space="preserve">r4.4 신규: 스프링 다리 자르기</t>
  </si>
  <si>
    <t xml:space="preserve">[나비엠알오] 목공 드릴세트 8pcs (HARDEN 610287, 3·4·5·6·7·8·9·10 mm)</t>
  </si>
  <si>
    <t xml:space="preserve">목공 드릴 비트 3~10 mm — L2 합판 구멍 (가진 것 확인) — 목공용 뿔 비트 8개 — Ø4 홈 줄 구멍·Ø6·Ø8·인서트 구멍; Ø14는 Ø10 + 줄</t>
  </si>
  <si>
    <t xml:space="preserve">https://www.navimro.com/g/1068385/</t>
  </si>
  <si>
    <t xml:space="preserve">X</t>
  </si>
  <si>
    <t xml:space="preserve">v4wood</t>
  </si>
  <si>
    <t xml:space="preserve">10/1 페이지: 3,990원(VAT 별도) → 4,389원, K44323944, 10/02 출하. 크기는 상세 사진의 케이스 표기(3~10)로 확인</t>
  </si>
  <si>
    <t xml:space="preserve">10/1 L2 고침: 선택 공구(기본 X) — 전동 드릴·비트를 가졌다고 가정</t>
  </si>
  <si>
    <t xml:space="preserve">배송비 — 나비엠알오</t>
  </si>
  <si>
    <t xml:space="preserve">나비엠알오 소계</t>
  </si>
  <si>
    <t xml:space="preserve">■ 올스틸샵</t>
  </si>
  <si>
    <t xml:space="preserve">사각철판 9T (SS275) 19×1000 맞춤 재단</t>
  </si>
  <si>
    <t xml:space="preserve">강철 블록 SS400 9T×19×40 (53.7 g, 모따기 없음) — 9T × 19 × 1000 mm, 1장 1.342 kg, 개당 8,610원</t>
  </si>
  <si>
    <t xml:space="preserve">https://www.allsteelshop.com/product/squareplate/9t</t>
  </si>
  <si>
    <t xml:space="preserve">올스틸샵</t>
  </si>
  <si>
    <t xml:space="preserve">v4weight</t>
  </si>
  <si>
    <t xml:space="preserve">9/27 상품 페이지의 가격 변수(LOG_3STEP: kg당 8,800→4,400원, 기준 5 kg, 10원 올림, 최소금액 = 9T 100×100 값 5,080원, 폭 10~1500·길이 ~3000 mm, 재질 SS275)로 다시 계산했다. 배송비는 /api/delivery-fee가 판(PLATE) 상품에 길이 0을 넘겨 0~10 kg 3,500원(10~30 kg 6,600원)이다. VAT 포함, 맞춤 절단은 반품 불가, 안내문 기준 결제 후 3~7영업일 출고. 표준 평철에는 9×19가 없다(부현철강 규격표: 9T는 폭 25부터, 원자재닷컴 폭 19는 3T·6T만) → 판을 19 폭 띠로 재단받는다. 1 m 띠 한 장에서 41.3 mm 간격(톱날 1.3)으로 24개, 4장 96개(예비 6). 설계 비용표의</t>
  </si>
  <si>
    <t xml:space="preserve">배송비 — 올스틸샵</t>
  </si>
  <si>
    <t xml:space="preserve">올스틸샵 소계</t>
  </si>
  <si>
    <t xml:space="preserve">■ 한국미스미</t>
  </si>
  <si>
    <t xml:space="preserve">한국미스미 경제형 토션스프링 C-UA90R5-3-0.5 (SUS304-WPB, 내경 5 · 선경 0.5 · 3권 · 암 각 90° 오른쪽 감기, 암 50/50)</t>
  </si>
  <si>
    <t xml:space="preserve">비틀림 보조 스프링 — 미스미 C-UA90R5-3-0.5 (SUS304-WPB d0.5 · ID5 · 3권 · 90°) — 긴 다리 22.3 · 짧은 다리 8.0 mm로 자름. k_t 8.44 N·mm/rad, 설치 자유각 −28.4°</t>
  </si>
  <si>
    <t xml:space="preserve">https://kr.misumi-ec.com/vona2/detail/110310556289/?HissuCode=C-UA90R5-3-0.5</t>
  </si>
  <si>
    <t xml:space="preserve">한국미스미</t>
  </si>
  <si>
    <t xml:space="preserve">v4tspring</t>
  </si>
  <si>
    <t xml:space="preserve">9/28 페이지 확인: 1~99개 332원(VAT 포함 365원), 100~236개 282원(VAT 포함 310원). 88개만 사면 32,120원이라 100개가 더 싸다. 재고품, 당일 출하 가능(18시 이후 주문은 다음 날 접수). VAT는 주문 합계에 붙어 실제 결제는 약 31,020원. 배송비는 무료로 알려져 있으나 결제 화면에서 확인하지 못했다.</t>
  </si>
  <si>
    <t xml:space="preserve">r4.4 변경: 미스미 기성품 (9/28 결정)</t>
  </si>
  <si>
    <t xml:space="preserve">한국미스미 소계</t>
  </si>
  <si>
    <t xml:space="preserve">■ G마켓 해외직구</t>
  </si>
  <si>
    <t xml:space="preserve">Waveshare 7-DSI-TOUCH-C 7인치 DSI 정전식 터치 1024×600 IPS</t>
  </si>
  <si>
    <t xml:space="preserve">터치스크린 7인치 (R31) — 1024×600 가로, 166.10 × 101.00 × 8.0 mm, 뒷면 M2.5 구멍 154 × 88</t>
  </si>
  <si>
    <t xml:space="preserve">https://item.gmarket.co.kr/Item?goodscode=4783965807</t>
  </si>
  <si>
    <t xml:space="preserve">G마켓 해외직구</t>
  </si>
  <si>
    <t xml:space="preserve">10/1 사용자 선택(B1). 가로 1024×600, 5점 터치, 400 cd/m², 약 2.15 W(Pi GPIO 5 V). config.txt 한 줄(dtoverlay=vc4-kms-dsi-waveshare-panel-v2,7_0_inch_c), 밝기 sysfs 0~255. 해외 구매대행: 중국 국경절 뒤 발송, 10/15~10/22 도착 추정. 개인통관고유부호 필요, 150달러 이하라 관부가세 없음. 쿠폰가 73,510원. 알리 공식 스토어 목록가 60,635원(미확인). 동봉: 22핀 200 mm 리본 2(책상 시험용), 2핀→2.54 3핀 전원선, 스탠드오프</t>
  </si>
  <si>
    <t xml:space="preserve">G마켓 해외직구 소계</t>
  </si>
  <si>
    <t xml:space="preserve">합계</t>
  </si>
  <si>
    <t xml:space="preserve">기본 부품 합계</t>
  </si>
  <si>
    <t xml:space="preserve">소모품 합계</t>
  </si>
  <si>
    <t xml:space="preserve">공구 합계</t>
  </si>
  <si>
    <t xml:space="preserve">최종 금액</t>
  </si>
  <si>
    <t xml:space="preserve">확인: 판매처 소계의 합</t>
  </si>
  <si>
    <t xml:space="preserve">최종 금액과 같아야 한다</t>
  </si>
  <si>
    <t xml:space="preserve">기본 구성 한도(R21)</t>
  </si>
  <si>
    <t xml:space="preserve">출처: sound-requirements.md R21 (소모품은 한도 밖)</t>
  </si>
  <si>
    <t xml:space="preserve">한도까지 남은 금액</t>
  </si>
  <si>
    <t xml:space="preserve">메모</t>
  </si>
  <si>
    <t xml:space="preserve">· v4에서 목록에서 뺀 부품: 핀헤더 소켓 1X40(2.54피치)(SE7) — EXT 암 커넥터용 — 회로 검토에서 빠짐(EXT는 L66 JST-XH 리드를 패드에 직접 납땜); 스텐 유두 렌치볼트 M3 × 40mm (SUS304)(L32) — 척추 클램프 나사 — v4에서 리프 콤·척추가 없어져 빠짐; 스텐 무두 렌치볼트 M3 × 10mm (평끝 세트스크루)(L33) — 무게 조절 세트스크루 — v4에서 빠짐(무게는 캡스턴·텅스텐 퍼티로); 스텐 둥근머리 직결피스 8호(Ø4.2) 16mm(L49) — 10/1 L2: 스피커 유닛은 출력 앞판의 M4 열압입 인서트(L69) + M4×12(L70)로 고정한다(직결피스 16 mm 대신); 스텐 둥근머리 직결피스 8호(Ø4.2) 25mm(L49) — R30·CAD L1: 4 mm 출력 받침이 없어져 발 5 + 합판 11.5 = 16.5에 25 mm를 쓰면 끝이 상자 안으로 약 8 mm 뚫고 나온다 → 고무발도 13 mm로; 육각 렌치 1.5mm (볼트 상품 옵션)(T11) — 1.5 mm 렌치(세트스크루용) — v4에서 빠짐; 무료배송 오꾸메 합판 600×1200×11.5mm 무료재단(L63) — 10/1 L2: 가운데 유닛 판이 스피커 판과 함께 400×1200 한 장(L10)에 모두 들어간다. 가게가 L10 배치대로 자르지 못하면 이 600×1200을 다시 산다(+22,520원); 매미고리 1-20 (SUS304 스테인리스 토글 래치, 25×54mm)(L64) — 10/1 L2: 도브테일 블록·토글 래치 대신 BRK2 세운 핀 + M4 손잡이볼트(L72) 2개씩으로 스피커와 가운데를 잇는다. 철물박사 주문이 없어져 배송비 3,000원도 빠진다; 황동 라운드 디스크 8-20mm 1mm 두께 10pcs (Ø8×1, 품절이면 Ø10×1)(L38) — 세트스크루 받침 황동 원판 — v4에서 빠짐</t>
  </si>
  <si>
    <t xml:space="preserve">· 4차 설계에서 3차의 업스톱 레일·손나사·접시 스프링·탭 강철 띠·황동 부싱·커버 자석·흑건 납·경화 샤프트가 빠졌다. 비용을 줄이는 대안과 "사용 안함"은 통합 아티팩트 07 재료·절감 선택 탭에서 고르고, 선택 코드를 대화창에 붙이면 이 표를 다시 만든다.</t>
  </si>
  <si>
    <t xml:space="preserve">· 토션 보조 스프링: 9/28 한국미스미 경제형 C-UA90R5-3-0.5 100개(100개 이상 282원 + VAT = 310원, 31,000원)로 정함. 두 다리를 22.3 / 8.0 mm로 잘라 쓴다(200번). r4.5 고침: 짧은 다리를 8.0으로 늘려 허브 홈에 가둔다(코일이 봉에 닿지 않게). 직접 감기·주문 제작은 선택기 대안.</t>
  </si>
  <si>
    <t xml:space="preserve">· r4.4 추가: 경선용 니퍼(스프링 다리 200번, 지금 니퍼 CT13은 구리선용).</t>
  </si>
  <si>
    <t xml:space="preserve">· 9/29 고침 2b: 강철 블록 접착제를 5분 에폭시에서 MS 폴리머 탄성 접착제로 바꿨다(에폭시는 딱딱해 온도 변화에 떨어짐). 세메다인 슈퍼X 백색 20 mL 2개(약 25~40 mL 필요). 투명형은 PET에 약해 사지 않는다. PETG 면은 사포 + 알코올, 24~48시간 경화, 단계 0 시험 20(5 ↔ 45 °C 3번)으로 확인.</t>
  </si>
  <si>
    <t xml:space="preserve">· 9/28 고침: 캡스턴 카드에 M3 너트 96개가 L31(100개)과 겹쳐 들어가 있던 것을 뺐다. 제어 기판 M3×6(L35) 20개는 r4.4의 14개 + 예비 6으로 충분.</t>
  </si>
  <si>
    <t xml:space="preserve">· 가격 확인이 "미확인"인 줄: 레이저 재단 견적, 한국미스미 SSFJ4 샤프트(9/27~28 점검), 알리익스프레스, 동네 철공소 — 주문 전에 다시 확인한다. 한국미스미 스프링 가격은 9/28 확인, 배송비는 무료로 알려져 있으나 결제 화면에서 확인하지 못했다.</t>
  </si>
  <si>
    <t xml:space="preserve">· 아이씨뱅큐·엘레파츠·Bambu Lab·나비엠알오(10/1 L2 고침: 공급가 5만 원 이상 무료) 배송비는 주문액에 따라 자동 계산된다. 다른 판매처 배송비와 엘레파츠 해외재고 개별 배송비는 한 줄로 넣었다.</t>
  </si>
  <si>
    <t xml:space="preserve">· 회로 검토(2026-09-28, hardware/pcb README) 반영: 1206 10 µF(L67)·1206 1 kΩ(L68) 추가, 핀헤더 1×40 5 → 9줄, 핀헤더 소켓 빼기, RP2040-Zero·저항·리본·L66·USB 케이블·1 µF 용도 글 수정.</t>
  </si>
  <si>
    <t xml:space="preserve">· USB 케이블(C04): 모듈 쪽 C 몰드 ≤ 12.5 × 7.6 × 25, 폭 초과 금지. NA993은 두께가 공개되지 않아(폭·길이는 사진 추정) 단계 0 시험 19로 확인한다. 세 치수가 공개된 대안은 CVILUX DH-20M50052(DigiKey, 선택기에서 고름).</t>
  </si>
  <si>
    <t xml:space="preserve">· 10/1 L2(한 몸 뒷바, 앞판 40°)·터치스크린 3판 반영: 600×1200 합판(L63)·토글 래치(L64, 철물박사 배송비 3,000원 포함)·직결피스 16 mm를 뺐다. 추가: 스피커 유닛 M4 열압입 인서트(L69) + M4×12(L70), 화면 뚜껑 레일 M3 열압입 인서트(L71), 스피커↔가운데 M4 손잡이볼트(L72)·목재 인서트(L73)·실리콘 슬리브(L74), BRK2 M3×16(L75), 보드 받침 M3×5(L76), 접시머리 13 mm(L77), M3×12 태핑(L78), 보조배터리 벨크로(L79), 허브 업스트림 짧은 선(C25). 보조배터리 선(C22)은 ㄱ자로 바꿈. 수량: M3×10 54 → 28, M3×6 20 → 24, 직결피스 13 mm 54 → 20. 터치스크린 M3×20(70원)·M2.5×6(200원) 옵션 값을 확인해 고침.</t>
  </si>
  <si>
    <t xml:space="preserve">· 사양 bom_net_krw −21,060원은 합판 −22,520 · 래치 −4,800 · 손잡이 나사·목재 인서트·슬리브 +4,200(어림) · ㄱ자 선 +2,060(어림)만 셌다. 이 표는 실제 페이지 값(손잡이볼트 5개 6,700 · M4 인서트 Norelem 07653-04 1,749 ×5(10/1 CAD v16: 목재 퀵서트 전장 10은 밀폐 판을 뚫어 길이 6으로 바꿈) · 실리콘 튜브 1 m 2,959 · ㄱ자 0.5 m 4,270 + 개별 배송비 3,000)과 철물박사 배송비, 나비엠알오 배송비(5만 원 넘어 빠짐), CAD README의 "구매 목록에 없는 것"(인서트·M3×16·M3×5·접시머리·태핑·벨크로·허브 선·ㄱ자 Pi 전원선), 줄어든 수량을 함께 넣었다.</t>
  </si>
  <si>
    <t xml:space="preserve">· 10/1 L2 고침(검토 반영): ① 보조배터리 ㄱ자 선(C22, 엘레파츠 해외재고)은 개별 배송비 3,000원이 따로 붙어 배송비 줄을 더했다 — 개별 배송비가 없는 Coms NC888 꺾임 C–C 1 m(2,600원, 꺾임 방향·W 미표기)는 선택기 대안 ② 실리콘 튜브(L74)를 같은 상품의 나비엠알오 판매(2,959원)로 옮겨 나비엠알오 주문이 공급가 50,340원 → 배송비 3,300원이 빠짐(선택기도 나비엠알오 5만 원 기준을 씀; 추천·공구 묶음처럼 나비엠알오 줄이 줄면 다시 붙음) ③ Pi 전원선(C24): CAD는 측면 꺾임 머리 14×13×9를 그렸고 MT666은 곧은 플러그(사진)라 Coms BT663(C 쪽 측면 꺾임 20 cm, 2,550원)의 A 쪽을 잘라 쓴다. 검토가 권한 IH627은 수–수 U자 어댑터라 맞지 않는다 ④ I/O 판·CU 트레이 글을 뒤판 출력물·J702로 고침.</t>
  </si>
  <si>
    <t xml:space="preserve">· USB-A→C 케이블(C04)은 1 m ×8 그대로 산다. CAD가 권한 짧은 세트(1 m ×2 · 0.5 m ×4 · 0.3 m ×2, 같은 계열)는 선택 — 남는 선 약 2.3 m를 감지 않으려면 사기 전에 끈으로 길이를 재고 바꾼다.</t>
  </si>
  <si>
    <t xml:space="preserve">· 판 가공 공구(10/1 L2): 전동 드릴과 4·6·8 mm 비트를 가지고 있다고 본다(목록 공구는 Ø4.0 HSS·쇠톱·줄뿐). 필요한 가공 — 폭 4 mm 홈 38개(Ø4 줄 구멍 + 줄), Ø6 선 구멍 2, Ø8 슬리브 구멍 4, 목재 인서트 막힌 구멍 4(약 Ø5.5~6), Ø14 XT30 구멍 2(Ø10 + 줄), 자석 자리 Ø8 × 3.2 12곳(포스트너 또는 목공 비트), 40° 사선·27 × 22 홈·뒤판 창(쇠톱 또는 목공 톱·실톱). 비트가 없으면 나비엠알오 HARDEN 목공 드릴세트 8pcs(3~10 mm, 4,389원, v4wood 줄 — 기본 X)를 O로 바꾼다.</t>
  </si>
  <si>
    <t xml:space="preserve">· CAD 확인 필요(10/1 L2): ① 퀵서트(L73)는 길이 10이라 CAD의 목재 인서트 8 깊이보다 2 깊다(밑 밀폐 판 3.5 → 1.5). 구멍 지름도 — 겉나사 Ø7 목재용이라 Ø6.5는 너무 크고 약 Ø5.5~6.0(추정, 판매처 문의 또는 시편 구멍) ② 허브 업스트림 선(C25)은 Pi 쪽 A가 꺾이고 B가 곧다(CAD는 반대) ③ 허브 사진상 업스트림 USB 3.0 B 포트와 DC 잭이 같은 끝면(CAD는 양 끝으로 추정) ④ M4 열압입 인서트(L69)는 바깥 6 × 길이 4(CAD M4×6, 바깥 5.6) — 구멍 Ø5.6 × 6.5 그대로 ⑤ CAD는 Pi 전원(Z-PI-PWR 14×13×9)과 허브 DC 플러그(12×12×10)를 ㄱ자로 그렸다: Pi 쪽은 BT663 측면 꺾임 머리 크기를 받은 뒤 비교, 허브 DC는 딸린 어댑터 플러그가 곧으면 잭 규격을 재고 같은 규격 ㄱ자 DC 플러그 선을 따로 산다(아직 값 없음) — CAD 배치를 다시 볼 때 ③과 함께.</t>
  </si>
  <si>
    <t xml:space="preserve">구매 사이트</t>
  </si>
  <si>
    <t xml:space="preserve">품목 수(O)</t>
  </si>
  <si>
    <t xml:space="preserve">소계(원)</t>
  </si>
  <si>
    <t xml:space="preserve">비중</t>
  </si>
  <si>
    <t xml:space="preserve">11번가</t>
  </si>
  <si>
    <t xml:space="preserve">파츠파츠 직영몰</t>
  </si>
  <si>
    <t xml:space="preserve">Bambu Lab KR 공식 스토어</t>
  </si>
  <si>
    <t xml:space="preserve">다나와 (최저가 판매처)</t>
  </si>
  <si>
    <t xml:space="preserve">Apple Store 온라인</t>
  </si>
  <si>
    <t xml:space="preserve">PINE STORE (Pine64 공식)</t>
  </si>
  <si>
    <t xml:space="preserve">무료 (다운로드)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</si>
</sst>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\원;\-#,##0\원;\-"/>
    <numFmt numFmtId="166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맑은 고딕"/>
      <family val="0"/>
      <charset val="1"/>
    </font>
    <font>
      <sz val="9"/>
      <color rgb="FF595959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b val="true"/>
      <sz val="11"/>
      <color rgb="FF1F3864"/>
      <name val="맑은 고딕"/>
      <family val="0"/>
      <charset val="1"/>
    </font>
    <font>
      <sz val="10"/>
      <name val="맑은 고딕"/>
      <family val="0"/>
      <charset val="1"/>
    </font>
    <font>
      <sz val="10"/>
      <color rgb="FF0000FF"/>
      <name val="맑은 고딕"/>
      <family val="0"/>
      <charset val="1"/>
    </font>
    <font>
      <sz val="10"/>
      <color rgb="FF0563C1"/>
      <name val="맑은 고딕"/>
      <family val="0"/>
      <charset val="1"/>
    </font>
    <font>
      <b val="true"/>
      <sz val="10"/>
      <name val="맑은 고딕"/>
      <family val="0"/>
      <charset val="1"/>
    </font>
    <font>
      <b val="true"/>
      <sz val="11"/>
      <name val="맑은 고딕"/>
      <family val="0"/>
      <charset val="1"/>
    </font>
    <font>
      <b val="true"/>
      <sz val="13"/>
      <name val="맑은 고딕"/>
      <family val="0"/>
      <charset val="1"/>
    </font>
    <font>
      <sz val="9"/>
      <name val="맑은 고딕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9C9C"/>
      </font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C9C9C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icbanq.com/P016286897" TargetMode="External"/><Relationship Id="rId2" Type="http://schemas.openxmlformats.org/officeDocument/2006/relationships/hyperlink" Target="https://www.icbanq.com/P017179277" TargetMode="External"/><Relationship Id="rId3" Type="http://schemas.openxmlformats.org/officeDocument/2006/relationships/hyperlink" Target="https://www.icbanq.com/P017179502" TargetMode="External"/><Relationship Id="rId4" Type="http://schemas.openxmlformats.org/officeDocument/2006/relationships/hyperlink" Target="https://www.icbanq.com/P018076669" TargetMode="External"/><Relationship Id="rId5" Type="http://schemas.openxmlformats.org/officeDocument/2006/relationships/hyperlink" Target="https://www.icbanq.com/P005666127" TargetMode="External"/><Relationship Id="rId6" Type="http://schemas.openxmlformats.org/officeDocument/2006/relationships/hyperlink" Target="https://www.icbanq.com/P014968846" TargetMode="External"/><Relationship Id="rId7" Type="http://schemas.openxmlformats.org/officeDocument/2006/relationships/hyperlink" Target="https://www.icbanq.com/P001248090" TargetMode="External"/><Relationship Id="rId8" Type="http://schemas.openxmlformats.org/officeDocument/2006/relationships/hyperlink" Target="https://www.icbanq.com/P011433924" TargetMode="External"/><Relationship Id="rId9" Type="http://schemas.openxmlformats.org/officeDocument/2006/relationships/hyperlink" Target="https://www.icbanq.com/P017179248" TargetMode="External"/><Relationship Id="rId10" Type="http://schemas.openxmlformats.org/officeDocument/2006/relationships/hyperlink" Target="https://www.icbanq.com/P014159115" TargetMode="External"/><Relationship Id="rId11" Type="http://schemas.openxmlformats.org/officeDocument/2006/relationships/hyperlink" Target="https://www.icbanq.com/P015976209" TargetMode="External"/><Relationship Id="rId12" Type="http://schemas.openxmlformats.org/officeDocument/2006/relationships/hyperlink" Target="https://www.icbanq.com/P015309984" TargetMode="External"/><Relationship Id="rId13" Type="http://schemas.openxmlformats.org/officeDocument/2006/relationships/hyperlink" Target="https://www.icbanq.com/P004711396" TargetMode="External"/><Relationship Id="rId14" Type="http://schemas.openxmlformats.org/officeDocument/2006/relationships/hyperlink" Target="https://www.icbanq.com/P015973844" TargetMode="External"/><Relationship Id="rId15" Type="http://schemas.openxmlformats.org/officeDocument/2006/relationships/hyperlink" Target="https://www.eleparts.co.kr/goods/view?no=32569" TargetMode="External"/><Relationship Id="rId16" Type="http://schemas.openxmlformats.org/officeDocument/2006/relationships/hyperlink" Target="https://www.eleparts.co.kr/goods/view?no=3237821" TargetMode="External"/><Relationship Id="rId17" Type="http://schemas.openxmlformats.org/officeDocument/2006/relationships/hyperlink" Target="https://www.eleparts.co.kr/goods/view?no=12766820" TargetMode="External"/><Relationship Id="rId18" Type="http://schemas.openxmlformats.org/officeDocument/2006/relationships/hyperlink" Target="https://www.eleparts.co.kr/goods/view?no=18842596" TargetMode="External"/><Relationship Id="rId19" Type="http://schemas.openxmlformats.org/officeDocument/2006/relationships/hyperlink" Target="https://www.eleparts.co.kr/goods/view?no=17806170" TargetMode="External"/><Relationship Id="rId20" Type="http://schemas.openxmlformats.org/officeDocument/2006/relationships/hyperlink" Target="https://www.eleparts.co.kr/goods/view?no=8105815" TargetMode="External"/><Relationship Id="rId21" Type="http://schemas.openxmlformats.org/officeDocument/2006/relationships/hyperlink" Target="https://www.eleparts.co.kr/goods/view?no=12816289" TargetMode="External"/><Relationship Id="rId22" Type="http://schemas.openxmlformats.org/officeDocument/2006/relationships/hyperlink" Target="https://www.eleparts.co.kr/goods/view?no=4314354" TargetMode="External"/><Relationship Id="rId23" Type="http://schemas.openxmlformats.org/officeDocument/2006/relationships/hyperlink" Target="https://www.eleparts.co.kr/goods/view?no=4313490" TargetMode="External"/><Relationship Id="rId24" Type="http://schemas.openxmlformats.org/officeDocument/2006/relationships/hyperlink" Target="https://www.eleparts.co.kr/goods/view?no=425" TargetMode="External"/><Relationship Id="rId25" Type="http://schemas.openxmlformats.org/officeDocument/2006/relationships/hyperlink" Target="https://www.eleparts.co.kr/goods/view?no=425" TargetMode="External"/><Relationship Id="rId26" Type="http://schemas.openxmlformats.org/officeDocument/2006/relationships/hyperlink" Target="https://www.eleparts.co.kr/goods/view?no=8170311" TargetMode="External"/><Relationship Id="rId27" Type="http://schemas.openxmlformats.org/officeDocument/2006/relationships/hyperlink" Target="https://www.eleparts.co.kr/goods/view?no=557" TargetMode="External"/><Relationship Id="rId28" Type="http://schemas.openxmlformats.org/officeDocument/2006/relationships/hyperlink" Target="https://www.eleparts.co.kr/goods/view?no=9100003" TargetMode="External"/><Relationship Id="rId29" Type="http://schemas.openxmlformats.org/officeDocument/2006/relationships/hyperlink" Target="https://www.eleparts.co.kr/goods/view?no=12755646" TargetMode="External"/><Relationship Id="rId30" Type="http://schemas.openxmlformats.org/officeDocument/2006/relationships/hyperlink" Target="https://www.eleparts.co.kr/goods/view?no=11045753" TargetMode="External"/><Relationship Id="rId31" Type="http://schemas.openxmlformats.org/officeDocument/2006/relationships/hyperlink" Target="https://www.eleparts.co.kr/goods/view?no=10911" TargetMode="External"/><Relationship Id="rId32" Type="http://schemas.openxmlformats.org/officeDocument/2006/relationships/hyperlink" Target="https://www.eleparts.co.kr/goods/view?no=10951" TargetMode="External"/><Relationship Id="rId33" Type="http://schemas.openxmlformats.org/officeDocument/2006/relationships/hyperlink" Target="https://www.eleparts.co.kr/goods/view?no=10993" TargetMode="External"/><Relationship Id="rId34" Type="http://schemas.openxmlformats.org/officeDocument/2006/relationships/hyperlink" Target="https://www.eleparts.co.kr/goods/view?no=10873" TargetMode="External"/><Relationship Id="rId35" Type="http://schemas.openxmlformats.org/officeDocument/2006/relationships/hyperlink" Target="https://www.eleparts.co.kr/goods/view?no=67811" TargetMode="External"/><Relationship Id="rId36" Type="http://schemas.openxmlformats.org/officeDocument/2006/relationships/hyperlink" Target="https://www.eleparts.co.kr/goods/view?no=11043038" TargetMode="External"/><Relationship Id="rId37" Type="http://schemas.openxmlformats.org/officeDocument/2006/relationships/hyperlink" Target="https://www.eleparts.co.kr/goods/view?no=12779720" TargetMode="External"/><Relationship Id="rId38" Type="http://schemas.openxmlformats.org/officeDocument/2006/relationships/hyperlink" Target="https://www.eleparts.co.kr/goods/view?no=12779721" TargetMode="External"/><Relationship Id="rId39" Type="http://schemas.openxmlformats.org/officeDocument/2006/relationships/hyperlink" Target="https://www.eleparts.co.kr/goods/view?no=18388615" TargetMode="External"/><Relationship Id="rId40" Type="http://schemas.openxmlformats.org/officeDocument/2006/relationships/hyperlink" Target="https://www.eleparts.co.kr/goods/view?no=2925673" TargetMode="External"/><Relationship Id="rId41" Type="http://schemas.openxmlformats.org/officeDocument/2006/relationships/hyperlink" Target="https://www.eleparts.co.kr/goods/view?no=16628292" TargetMode="External"/><Relationship Id="rId42" Type="http://schemas.openxmlformats.org/officeDocument/2006/relationships/hyperlink" Target="https://www.eleparts.co.kr/goods/view?no=11045752" TargetMode="External"/><Relationship Id="rId43" Type="http://schemas.openxmlformats.org/officeDocument/2006/relationships/hyperlink" Target="https://www.eleparts.co.kr/goods/view?no=17897439" TargetMode="External"/><Relationship Id="rId44" Type="http://schemas.openxmlformats.org/officeDocument/2006/relationships/hyperlink" Target="https://www.eleparts.co.kr/goods/view?no=6779159" TargetMode="External"/><Relationship Id="rId45" Type="http://schemas.openxmlformats.org/officeDocument/2006/relationships/hyperlink" Target="https://www.eleparts.co.kr/goods/view?no=3787704" TargetMode="External"/><Relationship Id="rId46" Type="http://schemas.openxmlformats.org/officeDocument/2006/relationships/hyperlink" Target="https://www.eleparts.co.kr/goods/view?no=7663472" TargetMode="External"/><Relationship Id="rId47" Type="http://schemas.openxmlformats.org/officeDocument/2006/relationships/hyperlink" Target="https://www.eleparts.co.kr/goods/view?no=16549359" TargetMode="External"/><Relationship Id="rId48" Type="http://schemas.openxmlformats.org/officeDocument/2006/relationships/hyperlink" Target="https://www.eleparts.co.kr/goods/view?no=9100747" TargetMode="External"/><Relationship Id="rId49" Type="http://schemas.openxmlformats.org/officeDocument/2006/relationships/hyperlink" Target="https://www.eleparts.co.kr/goods/view?no=4101973" TargetMode="External"/><Relationship Id="rId50" Type="http://schemas.openxmlformats.org/officeDocument/2006/relationships/hyperlink" Target="https://www.eleparts.co.kr/goods/view?no=12185326" TargetMode="External"/><Relationship Id="rId51" Type="http://schemas.openxmlformats.org/officeDocument/2006/relationships/hyperlink" Target="https://www.eleparts.co.kr/goods/view?no=2923219" TargetMode="External"/><Relationship Id="rId52" Type="http://schemas.openxmlformats.org/officeDocument/2006/relationships/hyperlink" Target="https://www.eleparts.co.kr/goods/view?no=18622271" TargetMode="External"/><Relationship Id="rId53" Type="http://schemas.openxmlformats.org/officeDocument/2006/relationships/hyperlink" Target="https://www.eleparts.co.kr/goods/view?no=18581287" TargetMode="External"/><Relationship Id="rId54" Type="http://schemas.openxmlformats.org/officeDocument/2006/relationships/hyperlink" Target="https://www.eleparts.co.kr/goods/view?no=9461190" TargetMode="External"/><Relationship Id="rId55" Type="http://schemas.openxmlformats.org/officeDocument/2006/relationships/hyperlink" Target="https://www.eleparts.co.kr/goods/view?no=9461199" TargetMode="External"/><Relationship Id="rId56" Type="http://schemas.openxmlformats.org/officeDocument/2006/relationships/hyperlink" Target="https://www.eleparts.co.kr/goods/view?no=9756990" TargetMode="External"/><Relationship Id="rId57" Type="http://schemas.openxmlformats.org/officeDocument/2006/relationships/hyperlink" Target="https://www.eleparts.co.kr/goods/view?no=9756998" TargetMode="External"/><Relationship Id="rId58" Type="http://schemas.openxmlformats.org/officeDocument/2006/relationships/hyperlink" Target="https://www.11st.co.kr/products/4236198413" TargetMode="External"/><Relationship Id="rId59" Type="http://schemas.openxmlformats.org/officeDocument/2006/relationships/hyperlink" Target="https://www.11st.co.kr/products/1565354988" TargetMode="External"/><Relationship Id="rId60" Type="http://schemas.openxmlformats.org/officeDocument/2006/relationships/hyperlink" Target="https://www.11st.co.kr/products/4236198413" TargetMode="External"/><Relationship Id="rId61" Type="http://schemas.openxmlformats.org/officeDocument/2006/relationships/hyperlink" Target="https://www.11st.co.kr/products/2325598213" TargetMode="External"/><Relationship Id="rId62" Type="http://schemas.openxmlformats.org/officeDocument/2006/relationships/hyperlink" Target="https://www.11st.co.kr/products/4353471537" TargetMode="External"/><Relationship Id="rId63" Type="http://schemas.openxmlformats.org/officeDocument/2006/relationships/hyperlink" Target="https://www.11st.co.kr/products/4353471537" TargetMode="External"/><Relationship Id="rId64" Type="http://schemas.openxmlformats.org/officeDocument/2006/relationships/hyperlink" Target="https://www.11st.co.kr/products/4350230243" TargetMode="External"/><Relationship Id="rId65" Type="http://schemas.openxmlformats.org/officeDocument/2006/relationships/hyperlink" Target="https://www.11st.co.kr/products/4236198586" TargetMode="External"/><Relationship Id="rId66" Type="http://schemas.openxmlformats.org/officeDocument/2006/relationships/hyperlink" Target="https://www.11st.co.kr/products/4236198413" TargetMode="External"/><Relationship Id="rId67" Type="http://schemas.openxmlformats.org/officeDocument/2006/relationships/hyperlink" Target="https://www.11st.co.kr/products/4236198413" TargetMode="External"/><Relationship Id="rId68" Type="http://schemas.openxmlformats.org/officeDocument/2006/relationships/hyperlink" Target="https://www.11st.co.kr/products/4236198413" TargetMode="External"/><Relationship Id="rId69" Type="http://schemas.openxmlformats.org/officeDocument/2006/relationships/hyperlink" Target="https://www.11st.co.kr/products/4236198413" TargetMode="External"/><Relationship Id="rId70" Type="http://schemas.openxmlformats.org/officeDocument/2006/relationships/hyperlink" Target="https://www.11st.co.kr/products/4236198413" TargetMode="External"/><Relationship Id="rId71" Type="http://schemas.openxmlformats.org/officeDocument/2006/relationships/hyperlink" Target="https://www.11st.co.kr/products/7591566666" TargetMode="External"/><Relationship Id="rId72" Type="http://schemas.openxmlformats.org/officeDocument/2006/relationships/hyperlink" Target="https://www.11st.co.kr/products/8517880969" TargetMode="External"/><Relationship Id="rId73" Type="http://schemas.openxmlformats.org/officeDocument/2006/relationships/hyperlink" Target="https://www.11st.co.kr/products/9579455646" TargetMode="External"/><Relationship Id="rId74" Type="http://schemas.openxmlformats.org/officeDocument/2006/relationships/hyperlink" Target="https://www.11st.co.kr/products/4236198413" TargetMode="External"/><Relationship Id="rId75" Type="http://schemas.openxmlformats.org/officeDocument/2006/relationships/hyperlink" Target="https://www.11st.co.kr/products/4236198413" TargetMode="External"/><Relationship Id="rId76" Type="http://schemas.openxmlformats.org/officeDocument/2006/relationships/hyperlink" Target="https://www.11st.co.kr/products/1304631510" TargetMode="External"/><Relationship Id="rId77" Type="http://schemas.openxmlformats.org/officeDocument/2006/relationships/hyperlink" Target="https://www.11st.co.kr/products/1304631510" TargetMode="External"/><Relationship Id="rId78" Type="http://schemas.openxmlformats.org/officeDocument/2006/relationships/hyperlink" Target="https://www.11st.co.kr/products/8517880969" TargetMode="External"/><Relationship Id="rId79" Type="http://schemas.openxmlformats.org/officeDocument/2006/relationships/hyperlink" Target="https://www.11st.co.kr/products/1333385437" TargetMode="External"/><Relationship Id="rId80" Type="http://schemas.openxmlformats.org/officeDocument/2006/relationships/hyperlink" Target="https://www.11st.co.kr/products/7459325704" TargetMode="External"/><Relationship Id="rId81" Type="http://schemas.openxmlformats.org/officeDocument/2006/relationships/hyperlink" Target="https://www.11st.co.kr/products/4236198413" TargetMode="External"/><Relationship Id="rId82" Type="http://schemas.openxmlformats.org/officeDocument/2006/relationships/hyperlink" Target="https://www.11st.co.kr/products/4236198413" TargetMode="External"/><Relationship Id="rId83" Type="http://schemas.openxmlformats.org/officeDocument/2006/relationships/hyperlink" Target="https://www.mechasolution.com/goods/goods_view.php?goodsNo=605179" TargetMode="External"/><Relationship Id="rId84" Type="http://schemas.openxmlformats.org/officeDocument/2006/relationships/hyperlink" Target="https://www.mechasolution.com/goods/goods_view.php?goodsNo=540645" TargetMode="External"/><Relationship Id="rId85" Type="http://schemas.openxmlformats.org/officeDocument/2006/relationships/hyperlink" Target="https://www.mechasolution.com/goods/goods_view.php?goodsNo=329798" TargetMode="External"/><Relationship Id="rId86" Type="http://schemas.openxmlformats.org/officeDocument/2006/relationships/hyperlink" Target="https://parts-parts.co.kr/product/detail.html?product_no=2383" TargetMode="External"/><Relationship Id="rId87" Type="http://schemas.openxmlformats.org/officeDocument/2006/relationships/hyperlink" Target="https://parts-parts.co.kr/product/detail.html?product_no=303" TargetMode="External"/><Relationship Id="rId88" Type="http://schemas.openxmlformats.org/officeDocument/2006/relationships/hyperlink" Target="https://kr.store.bambulab.com/products/petg-basic" TargetMode="External"/><Relationship Id="rId89" Type="http://schemas.openxmlformats.org/officeDocument/2006/relationships/hyperlink" Target="https://kr.store.bambulab.com/products/petg-basic" TargetMode="External"/><Relationship Id="rId90" Type="http://schemas.openxmlformats.org/officeDocument/2006/relationships/hyperlink" Target="https://kr.store.bambulab.com/products/petg-basic" TargetMode="External"/><Relationship Id="rId91" Type="http://schemas.openxmlformats.org/officeDocument/2006/relationships/hyperlink" Target="https://kr.store.bambulab.com/products/petg-basic" TargetMode="External"/><Relationship Id="rId92" Type="http://schemas.openxmlformats.org/officeDocument/2006/relationships/hyperlink" Target="https://prod.danawa.com/info/?pcode=20358155" TargetMode="External"/><Relationship Id="rId93" Type="http://schemas.openxmlformats.org/officeDocument/2006/relationships/hyperlink" Target="https://prod.danawa.com/info/?pcode=29865749" TargetMode="External"/><Relationship Id="rId94" Type="http://schemas.openxmlformats.org/officeDocument/2006/relationships/hyperlink" Target="https://prod.danawa.com/info/?pcode=59074565" TargetMode="External"/><Relationship Id="rId95" Type="http://schemas.openxmlformats.org/officeDocument/2006/relationships/hyperlink" Target="https://namugongjang.com/product/detail.html?product_no=1378" TargetMode="External"/><Relationship Id="rId96" Type="http://schemas.openxmlformats.org/officeDocument/2006/relationships/hyperlink" Target="https://dgmagnet.com/product/&#52488;&#44053;&#47141;-&#45348;&#50724;&#46356;&#50880;-&#50896;&#54805;&#51088;&#49437;-5mm/13/" TargetMode="External"/><Relationship Id="rId97" Type="http://schemas.openxmlformats.org/officeDocument/2006/relationships/hyperlink" Target="https://dgmagnet.com/product/detail.html?product_no=17" TargetMode="External"/><Relationship Id="rId98" Type="http://schemas.openxmlformats.org/officeDocument/2006/relationships/hyperlink" Target="https://www.rcbank.co.kr/shop/goods/goods_view.php?goodsno=29812" TargetMode="External"/><Relationship Id="rId99" Type="http://schemas.openxmlformats.org/officeDocument/2006/relationships/hyperlink" Target="https://www.rcbank.co.kr/shop/goods/goods_view.php?goodsno=67110" TargetMode="External"/><Relationship Id="rId100" Type="http://schemas.openxmlformats.org/officeDocument/2006/relationships/hyperlink" Target="https://studiobunt.com/product/detail.html?product_no=2948" TargetMode="External"/><Relationship Id="rId101" Type="http://schemas.openxmlformats.org/officeDocument/2006/relationships/hyperlink" Target="https://studiobunt.com/product/detail.html?product_no=4117" TargetMode="External"/><Relationship Id="rId102" Type="http://schemas.openxmlformats.org/officeDocument/2006/relationships/hyperlink" Target="https://studiobunt.com/product/detail.html?product_no=1157" TargetMode="External"/><Relationship Id="rId103" Type="http://schemas.openxmlformats.org/officeDocument/2006/relationships/hyperlink" Target="https://pianomoa.com/product/&#46272;&#47196;-&#54588;&#50500;&#45432;-&#54168;&#45804;-&#49436;&#49828;&#53580;&#51064;-&#51204;&#44592;&#51333;&#54840;&#54872;&#44032;&#45733;-&#51204;&#51088;&#53412;&#48372;&#46300;-&#46356;&#51648;&#53560;-&#54588;&#50500;&#45432;-&#45840;&#54140;/4117/" TargetMode="External"/><Relationship Id="rId104" Type="http://schemas.openxmlformats.org/officeDocument/2006/relationships/hyperlink" Target="https://www.apple.com/kr/shop/product/mw2q3kh/a" TargetMode="External"/><Relationship Id="rId105" Type="http://schemas.openxmlformats.org/officeDocument/2006/relationships/hyperlink" Target="https://pine64.com/product/pinecil-smart-mini-portable-soldering-iron/" TargetMode="External"/><Relationship Id="rId106" Type="http://schemas.openxmlformats.org/officeDocument/2006/relationships/hyperlink" Target="https://pine64.com/product/pinecil-portable-mini-stand/" TargetMode="External"/><Relationship Id="rId107" Type="http://schemas.openxmlformats.org/officeDocument/2006/relationships/hyperlink" Target="https://pine64.com/product/usb-type-c-to-usb-type-c-silicone-power-charging-cable-1-meter-length/" TargetMode="External"/><Relationship Id="rId108" Type="http://schemas.openxmlformats.org/officeDocument/2006/relationships/hyperlink" Target="https://www.fluidsynth.org/" TargetMode="External"/><Relationship Id="rId109" Type="http://schemas.openxmlformats.org/officeDocument/2006/relationships/hyperlink" Target="https://freepats.zenvoid.org/Piano/acoustic-grand-piano.html" TargetMode="External"/><Relationship Id="rId110" Type="http://schemas.openxmlformats.org/officeDocument/2006/relationships/hyperlink" Target="https://nasakorea.com/goods/goods_view.php?goodsNo=6090" TargetMode="External"/><Relationship Id="rId111" Type="http://schemas.openxmlformats.org/officeDocument/2006/relationships/hyperlink" Target="https://www.nasakorea.com/goods/goods_view.php?goodsNo=6009" TargetMode="External"/><Relationship Id="rId112" Type="http://schemas.openxmlformats.org/officeDocument/2006/relationships/hyperlink" Target="https://www.navimro.com/g/3544290/" TargetMode="External"/><Relationship Id="rId113" Type="http://schemas.openxmlformats.org/officeDocument/2006/relationships/hyperlink" Target="https://www.navimro.com/g/312592/?k=K15538680" TargetMode="External"/><Relationship Id="rId114" Type="http://schemas.openxmlformats.org/officeDocument/2006/relationships/hyperlink" Target="https://www.navimro.com/g/395062/" TargetMode="External"/><Relationship Id="rId115" Type="http://schemas.openxmlformats.org/officeDocument/2006/relationships/hyperlink" Target="https://www.navimro.com/g/1028764/" TargetMode="External"/><Relationship Id="rId116" Type="http://schemas.openxmlformats.org/officeDocument/2006/relationships/hyperlink" Target="https://www.navimro.com/g/1029233/" TargetMode="External"/><Relationship Id="rId117" Type="http://schemas.openxmlformats.org/officeDocument/2006/relationships/hyperlink" Target="https://www.navimro.com/g/37021/" TargetMode="External"/><Relationship Id="rId118" Type="http://schemas.openxmlformats.org/officeDocument/2006/relationships/hyperlink" Target="https://www.navimro.com/g/171100/" TargetMode="External"/><Relationship Id="rId119" Type="http://schemas.openxmlformats.org/officeDocument/2006/relationships/hyperlink" Target="https://www.navimro.com/g/3523817/" TargetMode="External"/><Relationship Id="rId120" Type="http://schemas.openxmlformats.org/officeDocument/2006/relationships/hyperlink" Target="https://www.navimro.com/g/1068385/" TargetMode="External"/><Relationship Id="rId121" Type="http://schemas.openxmlformats.org/officeDocument/2006/relationships/hyperlink" Target="https://www.allsteelshop.com/product/squareplate/9t" TargetMode="External"/><Relationship Id="rId122" Type="http://schemas.openxmlformats.org/officeDocument/2006/relationships/hyperlink" Target="https://kr.misumi-ec.com/vona2/detail/110310556289/?HissuCode=C-UA90R5-3-0.5" TargetMode="External"/><Relationship Id="rId123" Type="http://schemas.openxmlformats.org/officeDocument/2006/relationships/hyperlink" Target="https://item.gmarket.co.kr/Item?goodscode=4783965807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4" min="4" style="0" width="7"/>
    <col collapsed="false" customWidth="true" hidden="false" outlineLevel="0" max="5" min="5" style="0" width="62"/>
    <col collapsed="false" customWidth="true" hidden="false" outlineLevel="0" max="6" min="6" style="0" width="15"/>
    <col collapsed="false" customWidth="true" hidden="false" outlineLevel="0" max="7" min="7" style="0" width="48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16"/>
    <col collapsed="false" customWidth="true" hidden="false" outlineLevel="0" max="11" min="11" style="0" width="11"/>
    <col collapsed="false" customWidth="true" hidden="false" outlineLevel="0" max="12" min="12" style="0" width="36"/>
    <col collapsed="false" customWidth="true" hidden="false" outlineLevel="0" max="13" min="13" style="0" width="22"/>
    <col collapsed="false" customWidth="true" hidden="false" outlineLevel="0" max="14" min="14" style="0" width="9"/>
  </cols>
  <sheetData>
    <row r="1" customFormat="false" ht="16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20.8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</row>
    <row r="6" customFormat="false" ht="15" hidden="false" customHeight="false" outlineLevel="0" collapsed="false">
      <c r="A6" s="4" t="s">
        <v>17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customFormat="false" ht="40.25" hidden="false" customHeight="false" outlineLevel="0" collapsed="false">
      <c r="A7" s="5" t="n">
        <v>1</v>
      </c>
      <c r="B7" s="6" t="s">
        <v>18</v>
      </c>
      <c r="C7" s="7" t="n">
        <v>119900</v>
      </c>
      <c r="D7" s="8" t="n">
        <v>1</v>
      </c>
      <c r="E7" s="6" t="s">
        <v>19</v>
      </c>
      <c r="F7" s="9" t="n">
        <f aca="false">C7*D7</f>
        <v>119900</v>
      </c>
      <c r="G7" s="10" t="s">
        <v>20</v>
      </c>
      <c r="H7" s="11" t="s">
        <v>21</v>
      </c>
      <c r="I7" s="8" t="s">
        <v>22</v>
      </c>
      <c r="J7" s="5" t="s">
        <v>23</v>
      </c>
      <c r="K7" s="5" t="s">
        <v>24</v>
      </c>
      <c r="L7" s="6"/>
      <c r="M7" s="6" t="s">
        <v>25</v>
      </c>
      <c r="N7" s="11" t="s">
        <v>26</v>
      </c>
    </row>
    <row r="8" customFormat="false" ht="49.95" hidden="false" customHeight="false" outlineLevel="0" collapsed="false">
      <c r="A8" s="5" t="n">
        <v>2</v>
      </c>
      <c r="B8" s="6" t="s">
        <v>27</v>
      </c>
      <c r="C8" s="7" t="n">
        <v>4950</v>
      </c>
      <c r="D8" s="8" t="n">
        <v>1</v>
      </c>
      <c r="E8" s="6" t="s">
        <v>28</v>
      </c>
      <c r="F8" s="9" t="n">
        <f aca="false">C8*D8</f>
        <v>4950</v>
      </c>
      <c r="G8" s="10" t="s">
        <v>29</v>
      </c>
      <c r="H8" s="11" t="s">
        <v>21</v>
      </c>
      <c r="I8" s="8" t="s">
        <v>22</v>
      </c>
      <c r="J8" s="5" t="s">
        <v>30</v>
      </c>
      <c r="K8" s="5" t="s">
        <v>31</v>
      </c>
      <c r="L8" s="6"/>
      <c r="M8" s="6" t="s">
        <v>32</v>
      </c>
      <c r="N8" s="11" t="s">
        <v>26</v>
      </c>
    </row>
    <row r="9" customFormat="false" ht="30.55" hidden="false" customHeight="false" outlineLevel="0" collapsed="false">
      <c r="A9" s="5" t="n">
        <v>3</v>
      </c>
      <c r="B9" s="6" t="s">
        <v>33</v>
      </c>
      <c r="C9" s="7" t="n">
        <v>5170</v>
      </c>
      <c r="D9" s="8" t="n">
        <v>1</v>
      </c>
      <c r="E9" s="6" t="s">
        <v>34</v>
      </c>
      <c r="F9" s="9" t="n">
        <f aca="false">C9*D9</f>
        <v>5170</v>
      </c>
      <c r="G9" s="10" t="s">
        <v>35</v>
      </c>
      <c r="H9" s="11" t="s">
        <v>21</v>
      </c>
      <c r="I9" s="8" t="s">
        <v>22</v>
      </c>
      <c r="J9" s="5" t="s">
        <v>30</v>
      </c>
      <c r="K9" s="5" t="s">
        <v>36</v>
      </c>
      <c r="L9" s="6"/>
      <c r="M9" s="6" t="s">
        <v>37</v>
      </c>
      <c r="N9" s="11" t="s">
        <v>26</v>
      </c>
    </row>
    <row r="10" customFormat="false" ht="20.85" hidden="false" customHeight="false" outlineLevel="0" collapsed="false">
      <c r="A10" s="5" t="n">
        <v>4</v>
      </c>
      <c r="B10" s="6" t="s">
        <v>38</v>
      </c>
      <c r="C10" s="7" t="n">
        <v>891</v>
      </c>
      <c r="D10" s="8" t="n">
        <v>100</v>
      </c>
      <c r="E10" s="6" t="s">
        <v>39</v>
      </c>
      <c r="F10" s="9" t="n">
        <f aca="false">C10*D10</f>
        <v>89100</v>
      </c>
      <c r="G10" s="10" t="s">
        <v>40</v>
      </c>
      <c r="H10" s="11" t="s">
        <v>21</v>
      </c>
      <c r="I10" s="8" t="s">
        <v>22</v>
      </c>
      <c r="J10" s="5" t="s">
        <v>41</v>
      </c>
      <c r="K10" s="5" t="s">
        <v>42</v>
      </c>
      <c r="L10" s="6"/>
      <c r="M10" s="6" t="s">
        <v>25</v>
      </c>
      <c r="N10" s="11" t="s">
        <v>26</v>
      </c>
    </row>
    <row r="11" customFormat="false" ht="20.85" hidden="false" customHeight="false" outlineLevel="0" collapsed="false">
      <c r="A11" s="5" t="n">
        <v>5</v>
      </c>
      <c r="B11" s="6" t="s">
        <v>43</v>
      </c>
      <c r="C11" s="7" t="n">
        <v>165</v>
      </c>
      <c r="D11" s="8" t="n">
        <v>9</v>
      </c>
      <c r="E11" s="6" t="s">
        <v>44</v>
      </c>
      <c r="F11" s="9" t="n">
        <f aca="false">C11*D11</f>
        <v>1485</v>
      </c>
      <c r="G11" s="10" t="s">
        <v>45</v>
      </c>
      <c r="H11" s="11" t="s">
        <v>21</v>
      </c>
      <c r="I11" s="8" t="s">
        <v>22</v>
      </c>
      <c r="J11" s="5" t="s">
        <v>23</v>
      </c>
      <c r="K11" s="5" t="s">
        <v>46</v>
      </c>
      <c r="L11" s="6" t="s">
        <v>47</v>
      </c>
      <c r="M11" s="6" t="s">
        <v>48</v>
      </c>
      <c r="N11" s="11" t="s">
        <v>26</v>
      </c>
    </row>
    <row r="12" customFormat="false" ht="20.85" hidden="false" customHeight="false" outlineLevel="0" collapsed="false">
      <c r="A12" s="5" t="n">
        <v>6</v>
      </c>
      <c r="B12" s="6" t="s">
        <v>49</v>
      </c>
      <c r="C12" s="7" t="n">
        <v>44</v>
      </c>
      <c r="D12" s="8" t="n">
        <v>100</v>
      </c>
      <c r="E12" s="6" t="s">
        <v>50</v>
      </c>
      <c r="F12" s="9" t="n">
        <f aca="false">C12*D12</f>
        <v>4400</v>
      </c>
      <c r="G12" s="10" t="s">
        <v>51</v>
      </c>
      <c r="H12" s="11" t="s">
        <v>21</v>
      </c>
      <c r="I12" s="8" t="s">
        <v>22</v>
      </c>
      <c r="J12" s="5" t="s">
        <v>41</v>
      </c>
      <c r="K12" s="5" t="s">
        <v>52</v>
      </c>
      <c r="L12" s="6" t="s">
        <v>53</v>
      </c>
      <c r="M12" s="6" t="s">
        <v>25</v>
      </c>
      <c r="N12" s="11" t="s">
        <v>26</v>
      </c>
    </row>
    <row r="13" customFormat="false" ht="40.25" hidden="false" customHeight="false" outlineLevel="0" collapsed="false">
      <c r="A13" s="5" t="n">
        <v>7</v>
      </c>
      <c r="B13" s="6" t="s">
        <v>54</v>
      </c>
      <c r="C13" s="7" t="n">
        <v>7150</v>
      </c>
      <c r="D13" s="8" t="n">
        <v>1</v>
      </c>
      <c r="E13" s="6" t="s">
        <v>55</v>
      </c>
      <c r="F13" s="9" t="n">
        <f aca="false">C13*D13</f>
        <v>7150</v>
      </c>
      <c r="G13" s="10" t="s">
        <v>56</v>
      </c>
      <c r="H13" s="11" t="s">
        <v>21</v>
      </c>
      <c r="I13" s="8" t="s">
        <v>22</v>
      </c>
      <c r="J13" s="5" t="s">
        <v>57</v>
      </c>
      <c r="K13" s="5" t="s">
        <v>58</v>
      </c>
      <c r="L13" s="6" t="s">
        <v>59</v>
      </c>
      <c r="M13" s="6" t="s">
        <v>60</v>
      </c>
      <c r="N13" s="11" t="s">
        <v>26</v>
      </c>
    </row>
    <row r="14" customFormat="false" ht="30.55" hidden="false" customHeight="false" outlineLevel="0" collapsed="false">
      <c r="A14" s="5" t="n">
        <v>8</v>
      </c>
      <c r="B14" s="6" t="s">
        <v>61</v>
      </c>
      <c r="C14" s="7" t="n">
        <v>44</v>
      </c>
      <c r="D14" s="8" t="n">
        <v>10</v>
      </c>
      <c r="E14" s="6" t="s">
        <v>62</v>
      </c>
      <c r="F14" s="9" t="n">
        <f aca="false">C14*D14</f>
        <v>440</v>
      </c>
      <c r="G14" s="10" t="s">
        <v>63</v>
      </c>
      <c r="H14" s="11" t="s">
        <v>21</v>
      </c>
      <c r="I14" s="8" t="s">
        <v>22</v>
      </c>
      <c r="J14" s="5" t="s">
        <v>64</v>
      </c>
      <c r="K14" s="5" t="s">
        <v>65</v>
      </c>
      <c r="L14" s="6" t="s">
        <v>66</v>
      </c>
      <c r="M14" s="6" t="s">
        <v>60</v>
      </c>
      <c r="N14" s="11" t="s">
        <v>26</v>
      </c>
    </row>
    <row r="15" customFormat="false" ht="40.25" hidden="false" customHeight="false" outlineLevel="0" collapsed="false">
      <c r="A15" s="5" t="n">
        <v>9</v>
      </c>
      <c r="B15" s="6" t="s">
        <v>67</v>
      </c>
      <c r="C15" s="7" t="n">
        <v>2750</v>
      </c>
      <c r="D15" s="8" t="n">
        <v>1</v>
      </c>
      <c r="E15" s="6" t="s">
        <v>68</v>
      </c>
      <c r="F15" s="9" t="n">
        <f aca="false">C15*D15</f>
        <v>2750</v>
      </c>
      <c r="G15" s="10" t="s">
        <v>69</v>
      </c>
      <c r="H15" s="11" t="s">
        <v>21</v>
      </c>
      <c r="I15" s="8" t="s">
        <v>22</v>
      </c>
      <c r="J15" s="5" t="s">
        <v>30</v>
      </c>
      <c r="K15" s="5" t="s">
        <v>70</v>
      </c>
      <c r="L15" s="6"/>
      <c r="M15" s="6" t="s">
        <v>32</v>
      </c>
      <c r="N15" s="11" t="s">
        <v>26</v>
      </c>
    </row>
    <row r="16" customFormat="false" ht="30.55" hidden="false" customHeight="false" outlineLevel="0" collapsed="false">
      <c r="A16" s="5" t="n">
        <v>10</v>
      </c>
      <c r="B16" s="6" t="s">
        <v>71</v>
      </c>
      <c r="C16" s="7" t="n">
        <v>133</v>
      </c>
      <c r="D16" s="8" t="n">
        <v>5</v>
      </c>
      <c r="E16" s="6" t="s">
        <v>72</v>
      </c>
      <c r="F16" s="9" t="n">
        <f aca="false">C16*D16</f>
        <v>665</v>
      </c>
      <c r="G16" s="10" t="s">
        <v>73</v>
      </c>
      <c r="H16" s="11" t="s">
        <v>21</v>
      </c>
      <c r="I16" s="8" t="s">
        <v>22</v>
      </c>
      <c r="J16" s="5" t="s">
        <v>74</v>
      </c>
      <c r="K16" s="5" t="s">
        <v>75</v>
      </c>
      <c r="L16" s="6"/>
      <c r="M16" s="6" t="s">
        <v>76</v>
      </c>
      <c r="N16" s="11" t="s">
        <v>26</v>
      </c>
    </row>
    <row r="17" customFormat="false" ht="20.85" hidden="false" customHeight="false" outlineLevel="0" collapsed="false">
      <c r="A17" s="5" t="n">
        <v>11</v>
      </c>
      <c r="B17" s="6" t="s">
        <v>77</v>
      </c>
      <c r="C17" s="7" t="n">
        <v>11</v>
      </c>
      <c r="D17" s="8" t="n">
        <v>100</v>
      </c>
      <c r="E17" s="6" t="s">
        <v>78</v>
      </c>
      <c r="F17" s="9" t="n">
        <f aca="false">C17*D17</f>
        <v>1100</v>
      </c>
      <c r="G17" s="10" t="s">
        <v>79</v>
      </c>
      <c r="H17" s="11" t="s">
        <v>21</v>
      </c>
      <c r="I17" s="8" t="s">
        <v>22</v>
      </c>
      <c r="J17" s="5" t="s">
        <v>41</v>
      </c>
      <c r="K17" s="5" t="s">
        <v>80</v>
      </c>
      <c r="L17" s="6"/>
      <c r="M17" s="6" t="s">
        <v>81</v>
      </c>
      <c r="N17" s="11" t="s">
        <v>26</v>
      </c>
    </row>
    <row r="18" customFormat="false" ht="20.85" hidden="false" customHeight="false" outlineLevel="0" collapsed="false">
      <c r="A18" s="5" t="n">
        <v>12</v>
      </c>
      <c r="B18" s="6" t="s">
        <v>82</v>
      </c>
      <c r="C18" s="7" t="n">
        <v>1100</v>
      </c>
      <c r="D18" s="8" t="n">
        <v>1</v>
      </c>
      <c r="E18" s="6" t="s">
        <v>83</v>
      </c>
      <c r="F18" s="9" t="n">
        <f aca="false">C18*D18</f>
        <v>1100</v>
      </c>
      <c r="G18" s="10" t="s">
        <v>84</v>
      </c>
      <c r="H18" s="11" t="s">
        <v>85</v>
      </c>
      <c r="I18" s="8" t="s">
        <v>22</v>
      </c>
      <c r="J18" s="5" t="s">
        <v>86</v>
      </c>
      <c r="K18" s="5" t="s">
        <v>87</v>
      </c>
      <c r="L18" s="6" t="s">
        <v>88</v>
      </c>
      <c r="M18" s="6" t="s">
        <v>25</v>
      </c>
      <c r="N18" s="11" t="s">
        <v>26</v>
      </c>
    </row>
    <row r="19" customFormat="false" ht="30.55" hidden="false" customHeight="false" outlineLevel="0" collapsed="false">
      <c r="A19" s="5" t="n">
        <v>13</v>
      </c>
      <c r="B19" s="6" t="s">
        <v>89</v>
      </c>
      <c r="C19" s="7" t="n">
        <v>2860</v>
      </c>
      <c r="D19" s="8" t="n">
        <v>1</v>
      </c>
      <c r="E19" s="6" t="s">
        <v>90</v>
      </c>
      <c r="F19" s="9" t="n">
        <f aca="false">C19*D19</f>
        <v>2860</v>
      </c>
      <c r="G19" s="10" t="s">
        <v>91</v>
      </c>
      <c r="H19" s="11" t="s">
        <v>21</v>
      </c>
      <c r="I19" s="8" t="s">
        <v>22</v>
      </c>
      <c r="J19" s="5" t="s">
        <v>23</v>
      </c>
      <c r="K19" s="5" t="s">
        <v>92</v>
      </c>
      <c r="L19" s="6"/>
      <c r="M19" s="6" t="s">
        <v>25</v>
      </c>
      <c r="N19" s="11" t="s">
        <v>26</v>
      </c>
    </row>
    <row r="20" customFormat="false" ht="69.4" hidden="false" customHeight="false" outlineLevel="0" collapsed="false">
      <c r="A20" s="5" t="n">
        <v>14</v>
      </c>
      <c r="B20" s="6" t="s">
        <v>93</v>
      </c>
      <c r="C20" s="7" t="n">
        <v>11</v>
      </c>
      <c r="D20" s="8" t="n">
        <v>100</v>
      </c>
      <c r="E20" s="6" t="s">
        <v>94</v>
      </c>
      <c r="F20" s="9" t="n">
        <f aca="false">C20*D20</f>
        <v>1100</v>
      </c>
      <c r="G20" s="10" t="s">
        <v>95</v>
      </c>
      <c r="H20" s="11" t="s">
        <v>21</v>
      </c>
      <c r="I20" s="8" t="s">
        <v>22</v>
      </c>
      <c r="J20" s="5" t="s">
        <v>23</v>
      </c>
      <c r="K20" s="5" t="s">
        <v>96</v>
      </c>
      <c r="L20" s="6" t="s">
        <v>97</v>
      </c>
      <c r="M20" s="6" t="s">
        <v>98</v>
      </c>
      <c r="N20" s="11" t="s">
        <v>26</v>
      </c>
    </row>
    <row r="21" customFormat="false" ht="15" hidden="false" customHeight="false" outlineLevel="0" collapsed="false">
      <c r="A21" s="12" t="n">
        <v>15</v>
      </c>
      <c r="B21" s="12" t="s">
        <v>99</v>
      </c>
      <c r="C21" s="13" t="n">
        <f aca="false">IF(SUMIFS(F7:F20,I7:I20,"O")/1.1&lt;50000,2700,0)</f>
        <v>0</v>
      </c>
      <c r="D21" s="14" t="n">
        <v>1</v>
      </c>
      <c r="E21" s="12" t="s">
        <v>100</v>
      </c>
      <c r="F21" s="15" t="n">
        <f aca="false">C21*D21</f>
        <v>0</v>
      </c>
      <c r="G21" s="12"/>
      <c r="H21" s="12" t="s">
        <v>21</v>
      </c>
      <c r="I21" s="14" t="s">
        <v>22</v>
      </c>
      <c r="J21" s="12"/>
      <c r="K21" s="12"/>
      <c r="L21" s="12"/>
      <c r="M21" s="12"/>
      <c r="N21" s="12"/>
    </row>
    <row r="22" customFormat="false" ht="15" hidden="false" customHeight="false" outlineLevel="0" collapsed="false">
      <c r="A22" s="16"/>
      <c r="B22" s="17" t="s">
        <v>101</v>
      </c>
      <c r="C22" s="16"/>
      <c r="D22" s="16"/>
      <c r="E22" s="16"/>
      <c r="F22" s="18" t="n">
        <f aca="false">SUMIFS(F7:F21,I7:I21,"O")</f>
        <v>242170</v>
      </c>
      <c r="G22" s="16"/>
      <c r="H22" s="16"/>
      <c r="I22" s="16"/>
      <c r="J22" s="16"/>
      <c r="K22" s="16"/>
      <c r="L22" s="16"/>
      <c r="M22" s="16"/>
      <c r="N22" s="16"/>
    </row>
    <row r="24" customFormat="false" ht="15" hidden="false" customHeight="false" outlineLevel="0" collapsed="false">
      <c r="A24" s="4" t="s">
        <v>102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customFormat="false" ht="40.25" hidden="false" customHeight="false" outlineLevel="0" collapsed="false">
      <c r="A25" s="5" t="n">
        <v>16</v>
      </c>
      <c r="B25" s="6" t="s">
        <v>103</v>
      </c>
      <c r="C25" s="7" t="n">
        <v>385</v>
      </c>
      <c r="D25" s="8" t="n">
        <v>1</v>
      </c>
      <c r="E25" s="6" t="s">
        <v>104</v>
      </c>
      <c r="F25" s="9" t="n">
        <f aca="false">C25*D25</f>
        <v>385</v>
      </c>
      <c r="G25" s="10" t="s">
        <v>105</v>
      </c>
      <c r="H25" s="11" t="s">
        <v>21</v>
      </c>
      <c r="I25" s="8" t="s">
        <v>22</v>
      </c>
      <c r="J25" s="5" t="s">
        <v>106</v>
      </c>
      <c r="K25" s="5" t="s">
        <v>107</v>
      </c>
      <c r="L25" s="6"/>
      <c r="M25" s="6" t="s">
        <v>32</v>
      </c>
      <c r="N25" s="11" t="s">
        <v>26</v>
      </c>
    </row>
    <row r="26" customFormat="false" ht="20.85" hidden="false" customHeight="false" outlineLevel="0" collapsed="false">
      <c r="A26" s="5" t="n">
        <v>17</v>
      </c>
      <c r="B26" s="6" t="s">
        <v>108</v>
      </c>
      <c r="C26" s="7" t="n">
        <v>1110</v>
      </c>
      <c r="D26" s="8" t="n">
        <v>1</v>
      </c>
      <c r="E26" s="6" t="s">
        <v>109</v>
      </c>
      <c r="F26" s="9" t="n">
        <f aca="false">C26*D26</f>
        <v>1110</v>
      </c>
      <c r="G26" s="10" t="s">
        <v>110</v>
      </c>
      <c r="H26" s="11" t="s">
        <v>21</v>
      </c>
      <c r="I26" s="8" t="s">
        <v>22</v>
      </c>
      <c r="J26" s="5" t="s">
        <v>106</v>
      </c>
      <c r="K26" s="5" t="s">
        <v>111</v>
      </c>
      <c r="L26" s="6"/>
      <c r="M26" s="6" t="s">
        <v>25</v>
      </c>
      <c r="N26" s="11" t="s">
        <v>26</v>
      </c>
    </row>
    <row r="27" customFormat="false" ht="20.85" hidden="false" customHeight="false" outlineLevel="0" collapsed="false">
      <c r="A27" s="5" t="n">
        <v>18</v>
      </c>
      <c r="B27" s="6" t="s">
        <v>112</v>
      </c>
      <c r="C27" s="7" t="n">
        <v>110</v>
      </c>
      <c r="D27" s="8" t="n">
        <v>5</v>
      </c>
      <c r="E27" s="6" t="s">
        <v>113</v>
      </c>
      <c r="F27" s="9" t="n">
        <f aca="false">C27*D27</f>
        <v>550</v>
      </c>
      <c r="G27" s="10" t="s">
        <v>114</v>
      </c>
      <c r="H27" s="11" t="s">
        <v>21</v>
      </c>
      <c r="I27" s="8" t="s">
        <v>22</v>
      </c>
      <c r="J27" s="5" t="s">
        <v>106</v>
      </c>
      <c r="K27" s="5" t="s">
        <v>111</v>
      </c>
      <c r="L27" s="6" t="s">
        <v>115</v>
      </c>
      <c r="M27" s="6" t="s">
        <v>25</v>
      </c>
      <c r="N27" s="11" t="s">
        <v>26</v>
      </c>
    </row>
    <row r="28" customFormat="false" ht="98.5" hidden="false" customHeight="false" outlineLevel="0" collapsed="false">
      <c r="A28" s="5" t="n">
        <v>19</v>
      </c>
      <c r="B28" s="6" t="s">
        <v>116</v>
      </c>
      <c r="C28" s="7" t="n">
        <v>2600</v>
      </c>
      <c r="D28" s="8" t="n">
        <v>1</v>
      </c>
      <c r="E28" s="6" t="s">
        <v>117</v>
      </c>
      <c r="F28" s="9" t="n">
        <f aca="false">C28*D28</f>
        <v>2600</v>
      </c>
      <c r="G28" s="10" t="s">
        <v>118</v>
      </c>
      <c r="H28" s="11" t="s">
        <v>85</v>
      </c>
      <c r="I28" s="8" t="s">
        <v>22</v>
      </c>
      <c r="J28" s="5" t="s">
        <v>106</v>
      </c>
      <c r="K28" s="5" t="s">
        <v>119</v>
      </c>
      <c r="L28" s="6" t="s">
        <v>120</v>
      </c>
      <c r="M28" s="6" t="s">
        <v>121</v>
      </c>
      <c r="N28" s="11" t="s">
        <v>26</v>
      </c>
    </row>
    <row r="29" customFormat="false" ht="20.85" hidden="false" customHeight="false" outlineLevel="0" collapsed="false">
      <c r="A29" s="5" t="n">
        <v>20</v>
      </c>
      <c r="B29" s="6" t="s">
        <v>122</v>
      </c>
      <c r="C29" s="7" t="n">
        <v>2670</v>
      </c>
      <c r="D29" s="8" t="n">
        <v>1</v>
      </c>
      <c r="E29" s="6" t="s">
        <v>123</v>
      </c>
      <c r="F29" s="9" t="n">
        <f aca="false">C29*D29</f>
        <v>2670</v>
      </c>
      <c r="G29" s="10" t="s">
        <v>124</v>
      </c>
      <c r="H29" s="11" t="s">
        <v>85</v>
      </c>
      <c r="I29" s="8" t="s">
        <v>22</v>
      </c>
      <c r="J29" s="5" t="s">
        <v>106</v>
      </c>
      <c r="K29" s="5" t="s">
        <v>125</v>
      </c>
      <c r="L29" s="6"/>
      <c r="M29" s="6" t="s">
        <v>25</v>
      </c>
      <c r="N29" s="11" t="s">
        <v>26</v>
      </c>
    </row>
    <row r="30" customFormat="false" ht="117.9" hidden="false" customHeight="false" outlineLevel="0" collapsed="false">
      <c r="A30" s="5" t="n">
        <v>21</v>
      </c>
      <c r="B30" s="6" t="s">
        <v>126</v>
      </c>
      <c r="C30" s="7" t="n">
        <v>2550</v>
      </c>
      <c r="D30" s="8" t="n">
        <v>1</v>
      </c>
      <c r="E30" s="6" t="s">
        <v>127</v>
      </c>
      <c r="F30" s="9" t="n">
        <f aca="false">C30*D30</f>
        <v>2550</v>
      </c>
      <c r="G30" s="10" t="s">
        <v>128</v>
      </c>
      <c r="H30" s="11" t="s">
        <v>85</v>
      </c>
      <c r="I30" s="8" t="s">
        <v>22</v>
      </c>
      <c r="J30" s="5" t="s">
        <v>106</v>
      </c>
      <c r="K30" s="5" t="s">
        <v>129</v>
      </c>
      <c r="L30" s="6" t="s">
        <v>130</v>
      </c>
      <c r="M30" s="6" t="s">
        <v>131</v>
      </c>
      <c r="N30" s="11" t="s">
        <v>26</v>
      </c>
    </row>
    <row r="31" customFormat="false" ht="30.55" hidden="false" customHeight="false" outlineLevel="0" collapsed="false">
      <c r="A31" s="5" t="n">
        <v>22</v>
      </c>
      <c r="B31" s="6" t="s">
        <v>132</v>
      </c>
      <c r="C31" s="7" t="n">
        <v>863</v>
      </c>
      <c r="D31" s="8" t="n">
        <v>1</v>
      </c>
      <c r="E31" s="6" t="s">
        <v>133</v>
      </c>
      <c r="F31" s="9" t="n">
        <f aca="false">C31*D31</f>
        <v>863</v>
      </c>
      <c r="G31" s="10" t="s">
        <v>134</v>
      </c>
      <c r="H31" s="11" t="s">
        <v>21</v>
      </c>
      <c r="I31" s="8" t="s">
        <v>22</v>
      </c>
      <c r="J31" s="5" t="s">
        <v>106</v>
      </c>
      <c r="K31" s="5" t="s">
        <v>135</v>
      </c>
      <c r="L31" s="6" t="s">
        <v>136</v>
      </c>
      <c r="M31" s="6" t="s">
        <v>137</v>
      </c>
      <c r="N31" s="11" t="s">
        <v>26</v>
      </c>
    </row>
    <row r="32" customFormat="false" ht="88.8" hidden="false" customHeight="false" outlineLevel="0" collapsed="false">
      <c r="A32" s="5" t="n">
        <v>23</v>
      </c>
      <c r="B32" s="6" t="s">
        <v>138</v>
      </c>
      <c r="C32" s="7" t="n">
        <v>1530</v>
      </c>
      <c r="D32" s="8" t="n">
        <v>1</v>
      </c>
      <c r="E32" s="6" t="s">
        <v>139</v>
      </c>
      <c r="F32" s="9" t="n">
        <f aca="false">C32*D32</f>
        <v>1530</v>
      </c>
      <c r="G32" s="10" t="s">
        <v>140</v>
      </c>
      <c r="H32" s="11" t="s">
        <v>85</v>
      </c>
      <c r="I32" s="8" t="s">
        <v>22</v>
      </c>
      <c r="J32" s="5" t="s">
        <v>106</v>
      </c>
      <c r="K32" s="5" t="s">
        <v>141</v>
      </c>
      <c r="L32" s="6" t="s">
        <v>142</v>
      </c>
      <c r="M32" s="6" t="s">
        <v>143</v>
      </c>
      <c r="N32" s="11" t="s">
        <v>26</v>
      </c>
    </row>
    <row r="33" customFormat="false" ht="108.2" hidden="false" customHeight="false" outlineLevel="0" collapsed="false">
      <c r="A33" s="5" t="n">
        <v>24</v>
      </c>
      <c r="B33" s="6" t="s">
        <v>144</v>
      </c>
      <c r="C33" s="7" t="n">
        <v>1620</v>
      </c>
      <c r="D33" s="8" t="n">
        <v>8</v>
      </c>
      <c r="E33" s="6" t="s">
        <v>145</v>
      </c>
      <c r="F33" s="9" t="n">
        <f aca="false">C33*D33</f>
        <v>12960</v>
      </c>
      <c r="G33" s="10" t="s">
        <v>146</v>
      </c>
      <c r="H33" s="11" t="s">
        <v>85</v>
      </c>
      <c r="I33" s="8" t="s">
        <v>22</v>
      </c>
      <c r="J33" s="5" t="s">
        <v>106</v>
      </c>
      <c r="K33" s="5" t="s">
        <v>147</v>
      </c>
      <c r="L33" s="6" t="s">
        <v>148</v>
      </c>
      <c r="M33" s="6" t="s">
        <v>149</v>
      </c>
      <c r="N33" s="11" t="s">
        <v>26</v>
      </c>
    </row>
    <row r="34" customFormat="false" ht="20.85" hidden="false" customHeight="false" outlineLevel="0" collapsed="false">
      <c r="A34" s="5" t="n">
        <v>25</v>
      </c>
      <c r="B34" s="6" t="s">
        <v>150</v>
      </c>
      <c r="C34" s="7" t="n">
        <v>1529</v>
      </c>
      <c r="D34" s="8" t="n">
        <v>2</v>
      </c>
      <c r="E34" s="6" t="s">
        <v>151</v>
      </c>
      <c r="F34" s="9" t="n">
        <f aca="false">C34*D34</f>
        <v>3058</v>
      </c>
      <c r="G34" s="10" t="s">
        <v>152</v>
      </c>
      <c r="H34" s="11" t="s">
        <v>85</v>
      </c>
      <c r="I34" s="8" t="s">
        <v>22</v>
      </c>
      <c r="J34" s="5" t="s">
        <v>106</v>
      </c>
      <c r="K34" s="5" t="s">
        <v>153</v>
      </c>
      <c r="L34" s="6"/>
      <c r="M34" s="6" t="s">
        <v>76</v>
      </c>
      <c r="N34" s="11" t="s">
        <v>26</v>
      </c>
    </row>
    <row r="35" customFormat="false" ht="20.85" hidden="false" customHeight="false" outlineLevel="0" collapsed="false">
      <c r="A35" s="5" t="n">
        <v>26</v>
      </c>
      <c r="B35" s="6" t="s">
        <v>150</v>
      </c>
      <c r="C35" s="7" t="n">
        <v>1529</v>
      </c>
      <c r="D35" s="8" t="n">
        <v>1</v>
      </c>
      <c r="E35" s="6" t="s">
        <v>154</v>
      </c>
      <c r="F35" s="9" t="n">
        <f aca="false">C35*D35</f>
        <v>1529</v>
      </c>
      <c r="G35" s="10" t="s">
        <v>152</v>
      </c>
      <c r="H35" s="11" t="s">
        <v>85</v>
      </c>
      <c r="I35" s="8" t="s">
        <v>22</v>
      </c>
      <c r="J35" s="5" t="s">
        <v>106</v>
      </c>
      <c r="K35" s="5" t="s">
        <v>155</v>
      </c>
      <c r="L35" s="6" t="s">
        <v>156</v>
      </c>
      <c r="M35" s="6" t="s">
        <v>25</v>
      </c>
      <c r="N35" s="11" t="s">
        <v>26</v>
      </c>
    </row>
    <row r="36" customFormat="false" ht="30.55" hidden="false" customHeight="false" outlineLevel="0" collapsed="false">
      <c r="A36" s="5" t="n">
        <v>27</v>
      </c>
      <c r="B36" s="6" t="s">
        <v>157</v>
      </c>
      <c r="C36" s="7" t="n">
        <v>6600</v>
      </c>
      <c r="D36" s="8" t="n">
        <v>1</v>
      </c>
      <c r="E36" s="6" t="s">
        <v>158</v>
      </c>
      <c r="F36" s="9" t="n">
        <f aca="false">C36*D36</f>
        <v>6600</v>
      </c>
      <c r="G36" s="10" t="s">
        <v>159</v>
      </c>
      <c r="H36" s="11" t="s">
        <v>85</v>
      </c>
      <c r="I36" s="8" t="s">
        <v>22</v>
      </c>
      <c r="J36" s="5" t="s">
        <v>106</v>
      </c>
      <c r="K36" s="5" t="s">
        <v>160</v>
      </c>
      <c r="L36" s="6"/>
      <c r="M36" s="6" t="s">
        <v>149</v>
      </c>
      <c r="N36" s="11" t="s">
        <v>26</v>
      </c>
    </row>
    <row r="37" customFormat="false" ht="30.55" hidden="false" customHeight="false" outlineLevel="0" collapsed="false">
      <c r="A37" s="5" t="n">
        <v>28</v>
      </c>
      <c r="B37" s="6" t="s">
        <v>161</v>
      </c>
      <c r="C37" s="7" t="n">
        <v>4059</v>
      </c>
      <c r="D37" s="8" t="n">
        <v>1</v>
      </c>
      <c r="E37" s="6" t="s">
        <v>162</v>
      </c>
      <c r="F37" s="9" t="n">
        <f aca="false">C37*D37</f>
        <v>4059</v>
      </c>
      <c r="G37" s="10" t="s">
        <v>163</v>
      </c>
      <c r="H37" s="11" t="s">
        <v>85</v>
      </c>
      <c r="I37" s="8" t="s">
        <v>22</v>
      </c>
      <c r="J37" s="5" t="s">
        <v>106</v>
      </c>
      <c r="K37" s="5" t="s">
        <v>164</v>
      </c>
      <c r="L37" s="6"/>
      <c r="M37" s="6" t="s">
        <v>37</v>
      </c>
      <c r="N37" s="11" t="s">
        <v>26</v>
      </c>
    </row>
    <row r="38" customFormat="false" ht="20.85" hidden="false" customHeight="false" outlineLevel="0" collapsed="false">
      <c r="A38" s="5" t="n">
        <v>29</v>
      </c>
      <c r="B38" s="6" t="s">
        <v>165</v>
      </c>
      <c r="C38" s="7" t="n">
        <v>438</v>
      </c>
      <c r="D38" s="8" t="n">
        <v>1</v>
      </c>
      <c r="E38" s="6" t="s">
        <v>166</v>
      </c>
      <c r="F38" s="9" t="n">
        <f aca="false">C38*D38</f>
        <v>438</v>
      </c>
      <c r="G38" s="10" t="s">
        <v>167</v>
      </c>
      <c r="H38" s="11" t="s">
        <v>85</v>
      </c>
      <c r="I38" s="8" t="s">
        <v>22</v>
      </c>
      <c r="J38" s="5" t="s">
        <v>106</v>
      </c>
      <c r="K38" s="5" t="s">
        <v>168</v>
      </c>
      <c r="L38" s="6"/>
      <c r="M38" s="6" t="s">
        <v>76</v>
      </c>
      <c r="N38" s="11" t="s">
        <v>26</v>
      </c>
    </row>
    <row r="39" customFormat="false" ht="20.85" hidden="false" customHeight="false" outlineLevel="0" collapsed="false">
      <c r="A39" s="5" t="n">
        <v>30</v>
      </c>
      <c r="B39" s="6" t="s">
        <v>169</v>
      </c>
      <c r="C39" s="7" t="n">
        <v>3850</v>
      </c>
      <c r="D39" s="8" t="n">
        <v>1</v>
      </c>
      <c r="E39" s="6" t="s">
        <v>170</v>
      </c>
      <c r="F39" s="9" t="n">
        <f aca="false">C39*D39</f>
        <v>3850</v>
      </c>
      <c r="G39" s="10" t="s">
        <v>171</v>
      </c>
      <c r="H39" s="11" t="s">
        <v>85</v>
      </c>
      <c r="I39" s="8" t="s">
        <v>22</v>
      </c>
      <c r="J39" s="5" t="s">
        <v>106</v>
      </c>
      <c r="K39" s="5" t="s">
        <v>172</v>
      </c>
      <c r="L39" s="6" t="s">
        <v>173</v>
      </c>
      <c r="M39" s="6" t="s">
        <v>25</v>
      </c>
      <c r="N39" s="11" t="s">
        <v>26</v>
      </c>
    </row>
    <row r="40" customFormat="false" ht="59.7" hidden="false" customHeight="false" outlineLevel="0" collapsed="false">
      <c r="A40" s="5" t="n">
        <v>31</v>
      </c>
      <c r="B40" s="6" t="s">
        <v>174</v>
      </c>
      <c r="C40" s="7" t="n">
        <v>88</v>
      </c>
      <c r="D40" s="8" t="n">
        <v>10</v>
      </c>
      <c r="E40" s="6" t="s">
        <v>175</v>
      </c>
      <c r="F40" s="9" t="n">
        <f aca="false">C40*D40</f>
        <v>880</v>
      </c>
      <c r="G40" s="10" t="s">
        <v>176</v>
      </c>
      <c r="H40" s="11" t="s">
        <v>21</v>
      </c>
      <c r="I40" s="8" t="s">
        <v>22</v>
      </c>
      <c r="J40" s="5" t="s">
        <v>106</v>
      </c>
      <c r="K40" s="5" t="s">
        <v>177</v>
      </c>
      <c r="L40" s="6" t="s">
        <v>178</v>
      </c>
      <c r="M40" s="6" t="s">
        <v>137</v>
      </c>
      <c r="N40" s="11" t="s">
        <v>26</v>
      </c>
    </row>
    <row r="41" customFormat="false" ht="20.85" hidden="false" customHeight="false" outlineLevel="0" collapsed="false">
      <c r="A41" s="5" t="n">
        <v>32</v>
      </c>
      <c r="B41" s="6" t="s">
        <v>179</v>
      </c>
      <c r="C41" s="7" t="n">
        <v>25</v>
      </c>
      <c r="D41" s="8" t="n">
        <v>10</v>
      </c>
      <c r="E41" s="6" t="s">
        <v>180</v>
      </c>
      <c r="F41" s="9" t="n">
        <f aca="false">C41*D41</f>
        <v>250</v>
      </c>
      <c r="G41" s="10" t="s">
        <v>181</v>
      </c>
      <c r="H41" s="11" t="s">
        <v>21</v>
      </c>
      <c r="I41" s="8" t="s">
        <v>22</v>
      </c>
      <c r="J41" s="5" t="s">
        <v>106</v>
      </c>
      <c r="K41" s="5" t="s">
        <v>182</v>
      </c>
      <c r="L41" s="6" t="s">
        <v>183</v>
      </c>
      <c r="M41" s="6" t="s">
        <v>76</v>
      </c>
      <c r="N41" s="11" t="s">
        <v>26</v>
      </c>
    </row>
    <row r="42" customFormat="false" ht="20.85" hidden="false" customHeight="false" outlineLevel="0" collapsed="false">
      <c r="A42" s="5" t="n">
        <v>33</v>
      </c>
      <c r="B42" s="6" t="s">
        <v>184</v>
      </c>
      <c r="C42" s="7" t="n">
        <v>25</v>
      </c>
      <c r="D42" s="8" t="n">
        <v>10</v>
      </c>
      <c r="E42" s="6" t="s">
        <v>185</v>
      </c>
      <c r="F42" s="9" t="n">
        <f aca="false">C42*D42</f>
        <v>250</v>
      </c>
      <c r="G42" s="10" t="s">
        <v>186</v>
      </c>
      <c r="H42" s="11" t="s">
        <v>21</v>
      </c>
      <c r="I42" s="8" t="s">
        <v>22</v>
      </c>
      <c r="J42" s="5" t="s">
        <v>106</v>
      </c>
      <c r="K42" s="5" t="s">
        <v>182</v>
      </c>
      <c r="L42" s="6" t="s">
        <v>183</v>
      </c>
      <c r="M42" s="6" t="s">
        <v>76</v>
      </c>
      <c r="N42" s="11" t="s">
        <v>26</v>
      </c>
    </row>
    <row r="43" customFormat="false" ht="20.85" hidden="false" customHeight="false" outlineLevel="0" collapsed="false">
      <c r="A43" s="5" t="n">
        <v>34</v>
      </c>
      <c r="B43" s="6" t="s">
        <v>187</v>
      </c>
      <c r="C43" s="7" t="n">
        <v>25</v>
      </c>
      <c r="D43" s="8" t="n">
        <v>10</v>
      </c>
      <c r="E43" s="6" t="s">
        <v>188</v>
      </c>
      <c r="F43" s="9" t="n">
        <f aca="false">C43*D43</f>
        <v>250</v>
      </c>
      <c r="G43" s="10" t="s">
        <v>189</v>
      </c>
      <c r="H43" s="11" t="s">
        <v>21</v>
      </c>
      <c r="I43" s="8" t="s">
        <v>22</v>
      </c>
      <c r="J43" s="5" t="s">
        <v>106</v>
      </c>
      <c r="K43" s="5" t="s">
        <v>182</v>
      </c>
      <c r="L43" s="6" t="s">
        <v>183</v>
      </c>
      <c r="M43" s="6" t="s">
        <v>76</v>
      </c>
      <c r="N43" s="11" t="s">
        <v>26</v>
      </c>
    </row>
    <row r="44" customFormat="false" ht="20.85" hidden="false" customHeight="false" outlineLevel="0" collapsed="false">
      <c r="A44" s="5" t="n">
        <v>35</v>
      </c>
      <c r="B44" s="6" t="s">
        <v>190</v>
      </c>
      <c r="C44" s="7" t="n">
        <v>25</v>
      </c>
      <c r="D44" s="8" t="n">
        <v>10</v>
      </c>
      <c r="E44" s="6" t="s">
        <v>191</v>
      </c>
      <c r="F44" s="9" t="n">
        <f aca="false">C44*D44</f>
        <v>250</v>
      </c>
      <c r="G44" s="10" t="s">
        <v>192</v>
      </c>
      <c r="H44" s="11" t="s">
        <v>21</v>
      </c>
      <c r="I44" s="8" t="s">
        <v>22</v>
      </c>
      <c r="J44" s="5" t="s">
        <v>106</v>
      </c>
      <c r="K44" s="5" t="s">
        <v>182</v>
      </c>
      <c r="L44" s="6" t="s">
        <v>183</v>
      </c>
      <c r="M44" s="6" t="s">
        <v>76</v>
      </c>
      <c r="N44" s="11" t="s">
        <v>26</v>
      </c>
    </row>
    <row r="45" customFormat="false" ht="69.4" hidden="false" customHeight="false" outlineLevel="0" collapsed="false">
      <c r="A45" s="5" t="n">
        <v>36</v>
      </c>
      <c r="B45" s="6" t="s">
        <v>193</v>
      </c>
      <c r="C45" s="7" t="n">
        <v>198</v>
      </c>
      <c r="D45" s="8" t="n">
        <v>3</v>
      </c>
      <c r="E45" s="6" t="s">
        <v>194</v>
      </c>
      <c r="F45" s="9" t="n">
        <f aca="false">C45*D45</f>
        <v>594</v>
      </c>
      <c r="G45" s="10" t="s">
        <v>195</v>
      </c>
      <c r="H45" s="11" t="s">
        <v>21</v>
      </c>
      <c r="I45" s="8" t="s">
        <v>22</v>
      </c>
      <c r="J45" s="5" t="s">
        <v>106</v>
      </c>
      <c r="K45" s="5" t="s">
        <v>196</v>
      </c>
      <c r="L45" s="6"/>
      <c r="M45" s="6" t="s">
        <v>32</v>
      </c>
      <c r="N45" s="11" t="s">
        <v>26</v>
      </c>
    </row>
    <row r="46" customFormat="false" ht="20.85" hidden="false" customHeight="false" outlineLevel="0" collapsed="false">
      <c r="A46" s="5" t="n">
        <v>37</v>
      </c>
      <c r="B46" s="6" t="s">
        <v>197</v>
      </c>
      <c r="C46" s="7" t="n">
        <v>1700</v>
      </c>
      <c r="D46" s="8" t="n">
        <v>1</v>
      </c>
      <c r="E46" s="6" t="s">
        <v>198</v>
      </c>
      <c r="F46" s="9" t="n">
        <f aca="false">C46*D46</f>
        <v>1700</v>
      </c>
      <c r="G46" s="10" t="s">
        <v>199</v>
      </c>
      <c r="H46" s="11" t="s">
        <v>21</v>
      </c>
      <c r="I46" s="8" t="s">
        <v>22</v>
      </c>
      <c r="J46" s="5" t="s">
        <v>106</v>
      </c>
      <c r="K46" s="5" t="s">
        <v>200</v>
      </c>
      <c r="L46" s="6"/>
      <c r="M46" s="6" t="s">
        <v>25</v>
      </c>
      <c r="N46" s="11" t="s">
        <v>26</v>
      </c>
    </row>
    <row r="47" customFormat="false" ht="20.85" hidden="false" customHeight="false" outlineLevel="0" collapsed="false">
      <c r="A47" s="5" t="n">
        <v>38</v>
      </c>
      <c r="B47" s="6" t="s">
        <v>201</v>
      </c>
      <c r="C47" s="7" t="n">
        <v>1760</v>
      </c>
      <c r="D47" s="8" t="n">
        <v>2</v>
      </c>
      <c r="E47" s="6" t="s">
        <v>202</v>
      </c>
      <c r="F47" s="9" t="n">
        <f aca="false">C47*D47</f>
        <v>3520</v>
      </c>
      <c r="G47" s="10" t="s">
        <v>203</v>
      </c>
      <c r="H47" s="11" t="s">
        <v>21</v>
      </c>
      <c r="I47" s="8" t="s">
        <v>22</v>
      </c>
      <c r="J47" s="5" t="s">
        <v>106</v>
      </c>
      <c r="K47" s="5" t="s">
        <v>204</v>
      </c>
      <c r="L47" s="6"/>
      <c r="M47" s="6" t="s">
        <v>25</v>
      </c>
      <c r="N47" s="11" t="s">
        <v>26</v>
      </c>
    </row>
    <row r="48" customFormat="false" ht="20.85" hidden="false" customHeight="false" outlineLevel="0" collapsed="false">
      <c r="A48" s="5" t="n">
        <v>39</v>
      </c>
      <c r="B48" s="6" t="s">
        <v>205</v>
      </c>
      <c r="C48" s="7" t="n">
        <v>1760</v>
      </c>
      <c r="D48" s="8" t="n">
        <v>2</v>
      </c>
      <c r="E48" s="6" t="s">
        <v>206</v>
      </c>
      <c r="F48" s="9" t="n">
        <f aca="false">C48*D48</f>
        <v>3520</v>
      </c>
      <c r="G48" s="10" t="s">
        <v>207</v>
      </c>
      <c r="H48" s="11" t="s">
        <v>21</v>
      </c>
      <c r="I48" s="8" t="s">
        <v>22</v>
      </c>
      <c r="J48" s="5" t="s">
        <v>106</v>
      </c>
      <c r="K48" s="5" t="s">
        <v>204</v>
      </c>
      <c r="L48" s="6"/>
      <c r="M48" s="6" t="s">
        <v>25</v>
      </c>
      <c r="N48" s="11" t="s">
        <v>26</v>
      </c>
    </row>
    <row r="49" customFormat="false" ht="30.55" hidden="false" customHeight="false" outlineLevel="0" collapsed="false">
      <c r="A49" s="5" t="n">
        <v>40</v>
      </c>
      <c r="B49" s="6" t="s">
        <v>208</v>
      </c>
      <c r="C49" s="7" t="n">
        <v>14300</v>
      </c>
      <c r="D49" s="8" t="n">
        <v>1</v>
      </c>
      <c r="E49" s="6" t="s">
        <v>209</v>
      </c>
      <c r="F49" s="9" t="n">
        <f aca="false">C49*D49</f>
        <v>14300</v>
      </c>
      <c r="G49" s="10" t="s">
        <v>210</v>
      </c>
      <c r="H49" s="11" t="s">
        <v>85</v>
      </c>
      <c r="I49" s="8" t="s">
        <v>22</v>
      </c>
      <c r="J49" s="5" t="s">
        <v>106</v>
      </c>
      <c r="K49" s="5" t="s">
        <v>211</v>
      </c>
      <c r="L49" s="6"/>
      <c r="M49" s="6" t="s">
        <v>25</v>
      </c>
      <c r="N49" s="11" t="s">
        <v>26</v>
      </c>
    </row>
    <row r="50" customFormat="false" ht="40.25" hidden="false" customHeight="false" outlineLevel="0" collapsed="false">
      <c r="A50" s="5" t="n">
        <v>41</v>
      </c>
      <c r="B50" s="6" t="s">
        <v>212</v>
      </c>
      <c r="C50" s="7" t="n">
        <v>1710</v>
      </c>
      <c r="D50" s="8" t="n">
        <v>2</v>
      </c>
      <c r="E50" s="6" t="s">
        <v>213</v>
      </c>
      <c r="F50" s="9" t="n">
        <f aca="false">C50*D50</f>
        <v>3420</v>
      </c>
      <c r="G50" s="10" t="s">
        <v>214</v>
      </c>
      <c r="H50" s="11" t="s">
        <v>85</v>
      </c>
      <c r="I50" s="8" t="s">
        <v>22</v>
      </c>
      <c r="J50" s="5" t="s">
        <v>106</v>
      </c>
      <c r="K50" s="5" t="s">
        <v>215</v>
      </c>
      <c r="L50" s="6"/>
      <c r="M50" s="6" t="s">
        <v>32</v>
      </c>
      <c r="N50" s="11" t="s">
        <v>26</v>
      </c>
    </row>
    <row r="51" customFormat="false" ht="40.25" hidden="false" customHeight="false" outlineLevel="0" collapsed="false">
      <c r="A51" s="5" t="n">
        <v>42</v>
      </c>
      <c r="B51" s="6" t="s">
        <v>216</v>
      </c>
      <c r="C51" s="7" t="n">
        <v>583</v>
      </c>
      <c r="D51" s="8" t="n">
        <v>20</v>
      </c>
      <c r="E51" s="6" t="s">
        <v>217</v>
      </c>
      <c r="F51" s="9" t="n">
        <f aca="false">C51*D51</f>
        <v>11660</v>
      </c>
      <c r="G51" s="10" t="s">
        <v>218</v>
      </c>
      <c r="H51" s="11" t="s">
        <v>21</v>
      </c>
      <c r="I51" s="8" t="s">
        <v>22</v>
      </c>
      <c r="J51" s="5" t="s">
        <v>106</v>
      </c>
      <c r="K51" s="5" t="s">
        <v>219</v>
      </c>
      <c r="L51" s="6"/>
      <c r="M51" s="6" t="s">
        <v>37</v>
      </c>
      <c r="N51" s="11" t="s">
        <v>26</v>
      </c>
    </row>
    <row r="52" customFormat="false" ht="49.95" hidden="false" customHeight="false" outlineLevel="0" collapsed="false">
      <c r="A52" s="5" t="n">
        <v>43</v>
      </c>
      <c r="B52" s="6" t="s">
        <v>220</v>
      </c>
      <c r="C52" s="7" t="n">
        <v>88</v>
      </c>
      <c r="D52" s="8" t="n">
        <v>6</v>
      </c>
      <c r="E52" s="6" t="s">
        <v>221</v>
      </c>
      <c r="F52" s="9" t="n">
        <f aca="false">C52*D52</f>
        <v>528</v>
      </c>
      <c r="G52" s="10" t="s">
        <v>222</v>
      </c>
      <c r="H52" s="11" t="s">
        <v>21</v>
      </c>
      <c r="I52" s="8" t="s">
        <v>22</v>
      </c>
      <c r="J52" s="5" t="s">
        <v>106</v>
      </c>
      <c r="K52" s="5" t="s">
        <v>223</v>
      </c>
      <c r="L52" s="6" t="s">
        <v>224</v>
      </c>
      <c r="M52" s="6" t="s">
        <v>137</v>
      </c>
      <c r="N52" s="11" t="s">
        <v>26</v>
      </c>
    </row>
    <row r="53" customFormat="false" ht="15" hidden="false" customHeight="false" outlineLevel="0" collapsed="false">
      <c r="A53" s="5" t="n">
        <v>44</v>
      </c>
      <c r="B53" s="6" t="s">
        <v>225</v>
      </c>
      <c r="C53" s="7" t="n">
        <v>1080</v>
      </c>
      <c r="D53" s="8" t="n">
        <v>1</v>
      </c>
      <c r="E53" s="6" t="s">
        <v>226</v>
      </c>
      <c r="F53" s="9" t="n">
        <f aca="false">C53*D53</f>
        <v>1080</v>
      </c>
      <c r="G53" s="10" t="s">
        <v>227</v>
      </c>
      <c r="H53" s="11" t="s">
        <v>85</v>
      </c>
      <c r="I53" s="8" t="s">
        <v>22</v>
      </c>
      <c r="J53" s="5" t="s">
        <v>106</v>
      </c>
      <c r="K53" s="5" t="s">
        <v>228</v>
      </c>
      <c r="L53" s="6" t="s">
        <v>229</v>
      </c>
      <c r="M53" s="6" t="s">
        <v>25</v>
      </c>
      <c r="N53" s="11" t="s">
        <v>26</v>
      </c>
    </row>
    <row r="54" customFormat="false" ht="20.85" hidden="false" customHeight="false" outlineLevel="0" collapsed="false">
      <c r="A54" s="5" t="n">
        <v>45</v>
      </c>
      <c r="B54" s="6" t="s">
        <v>230</v>
      </c>
      <c r="C54" s="7" t="n">
        <v>7600</v>
      </c>
      <c r="D54" s="8" t="n">
        <v>1</v>
      </c>
      <c r="E54" s="6" t="s">
        <v>231</v>
      </c>
      <c r="F54" s="9" t="n">
        <f aca="false">C54*D54</f>
        <v>7600</v>
      </c>
      <c r="G54" s="10" t="s">
        <v>232</v>
      </c>
      <c r="H54" s="11" t="s">
        <v>233</v>
      </c>
      <c r="I54" s="8" t="s">
        <v>22</v>
      </c>
      <c r="J54" s="5" t="s">
        <v>106</v>
      </c>
      <c r="K54" s="5" t="s">
        <v>234</v>
      </c>
      <c r="L54" s="6"/>
      <c r="M54" s="6" t="s">
        <v>25</v>
      </c>
      <c r="N54" s="11" t="s">
        <v>26</v>
      </c>
    </row>
    <row r="55" customFormat="false" ht="15" hidden="false" customHeight="false" outlineLevel="0" collapsed="false">
      <c r="A55" s="5" t="n">
        <v>46</v>
      </c>
      <c r="B55" s="6" t="s">
        <v>235</v>
      </c>
      <c r="C55" s="7" t="n">
        <v>4500</v>
      </c>
      <c r="D55" s="8" t="n">
        <v>1</v>
      </c>
      <c r="E55" s="6" t="s">
        <v>236</v>
      </c>
      <c r="F55" s="9" t="n">
        <f aca="false">C55*D55</f>
        <v>4500</v>
      </c>
      <c r="G55" s="10" t="s">
        <v>237</v>
      </c>
      <c r="H55" s="11" t="s">
        <v>233</v>
      </c>
      <c r="I55" s="8" t="s">
        <v>22</v>
      </c>
      <c r="J55" s="5" t="s">
        <v>106</v>
      </c>
      <c r="K55" s="5" t="s">
        <v>238</v>
      </c>
      <c r="L55" s="6"/>
      <c r="M55" s="6" t="s">
        <v>25</v>
      </c>
      <c r="N55" s="11" t="s">
        <v>26</v>
      </c>
    </row>
    <row r="56" customFormat="false" ht="20.85" hidden="false" customHeight="false" outlineLevel="0" collapsed="false">
      <c r="A56" s="5" t="n">
        <v>47</v>
      </c>
      <c r="B56" s="6" t="s">
        <v>239</v>
      </c>
      <c r="C56" s="7" t="n">
        <v>3960</v>
      </c>
      <c r="D56" s="8" t="n">
        <v>1</v>
      </c>
      <c r="E56" s="6" t="s">
        <v>240</v>
      </c>
      <c r="F56" s="9" t="n">
        <f aca="false">C56*D56</f>
        <v>3960</v>
      </c>
      <c r="G56" s="10" t="s">
        <v>241</v>
      </c>
      <c r="H56" s="11" t="s">
        <v>233</v>
      </c>
      <c r="I56" s="8" t="s">
        <v>22</v>
      </c>
      <c r="J56" s="5" t="s">
        <v>106</v>
      </c>
      <c r="K56" s="5" t="s">
        <v>242</v>
      </c>
      <c r="L56" s="6"/>
      <c r="M56" s="6" t="s">
        <v>25</v>
      </c>
      <c r="N56" s="11" t="s">
        <v>26</v>
      </c>
    </row>
    <row r="57" customFormat="false" ht="20.85" hidden="false" customHeight="false" outlineLevel="0" collapsed="false">
      <c r="A57" s="5" t="n">
        <v>48</v>
      </c>
      <c r="B57" s="6" t="s">
        <v>243</v>
      </c>
      <c r="C57" s="7" t="n">
        <v>13400</v>
      </c>
      <c r="D57" s="8" t="n">
        <v>1</v>
      </c>
      <c r="E57" s="6" t="s">
        <v>244</v>
      </c>
      <c r="F57" s="9" t="n">
        <f aca="false">C57*D57</f>
        <v>13400</v>
      </c>
      <c r="G57" s="10" t="s">
        <v>245</v>
      </c>
      <c r="H57" s="11" t="s">
        <v>233</v>
      </c>
      <c r="I57" s="8" t="s">
        <v>22</v>
      </c>
      <c r="J57" s="5" t="s">
        <v>106</v>
      </c>
      <c r="K57" s="5" t="s">
        <v>246</v>
      </c>
      <c r="L57" s="6"/>
      <c r="M57" s="6" t="s">
        <v>25</v>
      </c>
      <c r="N57" s="11" t="s">
        <v>26</v>
      </c>
    </row>
    <row r="58" customFormat="false" ht="49.95" hidden="false" customHeight="false" outlineLevel="0" collapsed="false">
      <c r="A58" s="5" t="n">
        <v>49</v>
      </c>
      <c r="B58" s="6" t="s">
        <v>247</v>
      </c>
      <c r="C58" s="7" t="n">
        <v>6500</v>
      </c>
      <c r="D58" s="8" t="n">
        <v>1</v>
      </c>
      <c r="E58" s="6" t="s">
        <v>248</v>
      </c>
      <c r="F58" s="9" t="n">
        <f aca="false">C58*D58</f>
        <v>6500</v>
      </c>
      <c r="G58" s="10" t="s">
        <v>249</v>
      </c>
      <c r="H58" s="11" t="s">
        <v>233</v>
      </c>
      <c r="I58" s="8" t="s">
        <v>22</v>
      </c>
      <c r="J58" s="5" t="s">
        <v>106</v>
      </c>
      <c r="K58" s="5" t="s">
        <v>250</v>
      </c>
      <c r="L58" s="6" t="s">
        <v>251</v>
      </c>
      <c r="M58" s="6" t="s">
        <v>252</v>
      </c>
      <c r="N58" s="11" t="s">
        <v>26</v>
      </c>
    </row>
    <row r="59" customFormat="false" ht="49.95" hidden="false" customHeight="false" outlineLevel="0" collapsed="false">
      <c r="A59" s="5" t="n">
        <v>50</v>
      </c>
      <c r="B59" s="6" t="s">
        <v>253</v>
      </c>
      <c r="C59" s="7" t="n">
        <v>2200</v>
      </c>
      <c r="D59" s="8" t="n">
        <v>2</v>
      </c>
      <c r="E59" s="6" t="s">
        <v>254</v>
      </c>
      <c r="F59" s="9" t="n">
        <f aca="false">C59*D59</f>
        <v>4400</v>
      </c>
      <c r="G59" s="10" t="s">
        <v>255</v>
      </c>
      <c r="H59" s="11" t="s">
        <v>233</v>
      </c>
      <c r="I59" s="8" t="s">
        <v>22</v>
      </c>
      <c r="J59" s="5" t="s">
        <v>106</v>
      </c>
      <c r="K59" s="5" t="s">
        <v>250</v>
      </c>
      <c r="L59" s="6" t="s">
        <v>256</v>
      </c>
      <c r="M59" s="6" t="s">
        <v>252</v>
      </c>
      <c r="N59" s="11" t="s">
        <v>26</v>
      </c>
    </row>
    <row r="60" customFormat="false" ht="49.95" hidden="false" customHeight="false" outlineLevel="0" collapsed="false">
      <c r="A60" s="5" t="n">
        <v>51</v>
      </c>
      <c r="B60" s="6" t="s">
        <v>257</v>
      </c>
      <c r="C60" s="7" t="n">
        <v>6800</v>
      </c>
      <c r="D60" s="8" t="n">
        <v>1</v>
      </c>
      <c r="E60" s="6" t="s">
        <v>258</v>
      </c>
      <c r="F60" s="9" t="n">
        <f aca="false">C60*D60</f>
        <v>6800</v>
      </c>
      <c r="G60" s="10" t="s">
        <v>259</v>
      </c>
      <c r="H60" s="11" t="s">
        <v>233</v>
      </c>
      <c r="I60" s="8" t="s">
        <v>22</v>
      </c>
      <c r="J60" s="5" t="s">
        <v>106</v>
      </c>
      <c r="K60" s="5" t="s">
        <v>250</v>
      </c>
      <c r="L60" s="6" t="s">
        <v>260</v>
      </c>
      <c r="M60" s="6" t="s">
        <v>252</v>
      </c>
      <c r="N60" s="11" t="s">
        <v>26</v>
      </c>
    </row>
    <row r="61" customFormat="false" ht="49.95" hidden="false" customHeight="false" outlineLevel="0" collapsed="false">
      <c r="A61" s="5" t="n">
        <v>52</v>
      </c>
      <c r="B61" s="6" t="s">
        <v>261</v>
      </c>
      <c r="C61" s="7" t="n">
        <v>20000</v>
      </c>
      <c r="D61" s="8" t="n">
        <v>1</v>
      </c>
      <c r="E61" s="6" t="s">
        <v>262</v>
      </c>
      <c r="F61" s="9" t="n">
        <f aca="false">C61*D61</f>
        <v>20000</v>
      </c>
      <c r="G61" s="10" t="s">
        <v>263</v>
      </c>
      <c r="H61" s="11" t="s">
        <v>233</v>
      </c>
      <c r="I61" s="8" t="s">
        <v>22</v>
      </c>
      <c r="J61" s="5" t="s">
        <v>106</v>
      </c>
      <c r="K61" s="5" t="s">
        <v>250</v>
      </c>
      <c r="L61" s="6" t="s">
        <v>264</v>
      </c>
      <c r="M61" s="6" t="s">
        <v>252</v>
      </c>
      <c r="N61" s="11" t="s">
        <v>26</v>
      </c>
    </row>
    <row r="62" customFormat="false" ht="49.95" hidden="false" customHeight="false" outlineLevel="0" collapsed="false">
      <c r="A62" s="5" t="n">
        <v>53</v>
      </c>
      <c r="B62" s="6" t="s">
        <v>265</v>
      </c>
      <c r="C62" s="7" t="n">
        <v>391</v>
      </c>
      <c r="D62" s="8" t="n">
        <v>5</v>
      </c>
      <c r="E62" s="6" t="s">
        <v>266</v>
      </c>
      <c r="F62" s="9" t="n">
        <f aca="false">C62*D62</f>
        <v>1955</v>
      </c>
      <c r="G62" s="10" t="s">
        <v>267</v>
      </c>
      <c r="H62" s="11" t="s">
        <v>21</v>
      </c>
      <c r="I62" s="8" t="s">
        <v>22</v>
      </c>
      <c r="J62" s="5" t="s">
        <v>106</v>
      </c>
      <c r="K62" s="5" t="s">
        <v>268</v>
      </c>
      <c r="L62" s="6" t="s">
        <v>269</v>
      </c>
      <c r="M62" s="6" t="s">
        <v>270</v>
      </c>
      <c r="N62" s="11" t="s">
        <v>26</v>
      </c>
    </row>
    <row r="63" customFormat="false" ht="49.95" hidden="false" customHeight="false" outlineLevel="0" collapsed="false">
      <c r="A63" s="5" t="n">
        <v>54</v>
      </c>
      <c r="B63" s="6" t="s">
        <v>271</v>
      </c>
      <c r="C63" s="7" t="n">
        <v>395</v>
      </c>
      <c r="D63" s="8" t="n">
        <v>5</v>
      </c>
      <c r="E63" s="6" t="s">
        <v>266</v>
      </c>
      <c r="F63" s="9" t="n">
        <f aca="false">C63*D63</f>
        <v>1975</v>
      </c>
      <c r="G63" s="10" t="s">
        <v>272</v>
      </c>
      <c r="H63" s="11" t="s">
        <v>21</v>
      </c>
      <c r="I63" s="8" t="s">
        <v>22</v>
      </c>
      <c r="J63" s="5" t="s">
        <v>106</v>
      </c>
      <c r="K63" s="5" t="s">
        <v>268</v>
      </c>
      <c r="L63" s="6" t="s">
        <v>273</v>
      </c>
      <c r="M63" s="6" t="s">
        <v>270</v>
      </c>
      <c r="N63" s="11" t="s">
        <v>26</v>
      </c>
    </row>
    <row r="64" customFormat="false" ht="49.95" hidden="false" customHeight="false" outlineLevel="0" collapsed="false">
      <c r="A64" s="5" t="n">
        <v>55</v>
      </c>
      <c r="B64" s="6" t="s">
        <v>274</v>
      </c>
      <c r="C64" s="7" t="n">
        <v>451</v>
      </c>
      <c r="D64" s="8" t="n">
        <v>1</v>
      </c>
      <c r="E64" s="6" t="s">
        <v>266</v>
      </c>
      <c r="F64" s="9" t="n">
        <f aca="false">C64*D64</f>
        <v>451</v>
      </c>
      <c r="G64" s="10" t="s">
        <v>275</v>
      </c>
      <c r="H64" s="11" t="s">
        <v>85</v>
      </c>
      <c r="I64" s="8" t="s">
        <v>22</v>
      </c>
      <c r="J64" s="5" t="s">
        <v>106</v>
      </c>
      <c r="K64" s="5" t="s">
        <v>268</v>
      </c>
      <c r="L64" s="6" t="s">
        <v>276</v>
      </c>
      <c r="M64" s="6" t="s">
        <v>270</v>
      </c>
      <c r="N64" s="11" t="s">
        <v>26</v>
      </c>
    </row>
    <row r="65" customFormat="false" ht="49.95" hidden="false" customHeight="false" outlineLevel="0" collapsed="false">
      <c r="A65" s="5" t="n">
        <v>56</v>
      </c>
      <c r="B65" s="6" t="s">
        <v>277</v>
      </c>
      <c r="C65" s="7" t="n">
        <v>451</v>
      </c>
      <c r="D65" s="8" t="n">
        <v>1</v>
      </c>
      <c r="E65" s="6" t="s">
        <v>266</v>
      </c>
      <c r="F65" s="9" t="n">
        <f aca="false">C65*D65</f>
        <v>451</v>
      </c>
      <c r="G65" s="10" t="s">
        <v>278</v>
      </c>
      <c r="H65" s="11" t="s">
        <v>85</v>
      </c>
      <c r="I65" s="8" t="s">
        <v>22</v>
      </c>
      <c r="J65" s="5" t="s">
        <v>106</v>
      </c>
      <c r="K65" s="5" t="s">
        <v>268</v>
      </c>
      <c r="L65" s="6" t="s">
        <v>279</v>
      </c>
      <c r="M65" s="6" t="s">
        <v>270</v>
      </c>
      <c r="N65" s="11" t="s">
        <v>26</v>
      </c>
    </row>
    <row r="66" customFormat="false" ht="49.95" hidden="false" customHeight="false" outlineLevel="0" collapsed="false">
      <c r="A66" s="5" t="n">
        <v>57</v>
      </c>
      <c r="B66" s="6" t="s">
        <v>280</v>
      </c>
      <c r="C66" s="7" t="n">
        <v>451</v>
      </c>
      <c r="D66" s="8" t="n">
        <v>1</v>
      </c>
      <c r="E66" s="6" t="s">
        <v>266</v>
      </c>
      <c r="F66" s="9" t="n">
        <f aca="false">C66*D66</f>
        <v>451</v>
      </c>
      <c r="G66" s="10" t="s">
        <v>281</v>
      </c>
      <c r="H66" s="11" t="s">
        <v>85</v>
      </c>
      <c r="I66" s="8" t="s">
        <v>22</v>
      </c>
      <c r="J66" s="5" t="s">
        <v>106</v>
      </c>
      <c r="K66" s="5" t="s">
        <v>268</v>
      </c>
      <c r="L66" s="6" t="s">
        <v>282</v>
      </c>
      <c r="M66" s="6" t="s">
        <v>270</v>
      </c>
      <c r="N66" s="11" t="s">
        <v>26</v>
      </c>
    </row>
    <row r="67" customFormat="false" ht="49.95" hidden="false" customHeight="false" outlineLevel="0" collapsed="false">
      <c r="A67" s="5" t="n">
        <v>58</v>
      </c>
      <c r="B67" s="6" t="s">
        <v>283</v>
      </c>
      <c r="C67" s="7" t="n">
        <v>451</v>
      </c>
      <c r="D67" s="8" t="n">
        <v>1</v>
      </c>
      <c r="E67" s="6" t="s">
        <v>266</v>
      </c>
      <c r="F67" s="9" t="n">
        <f aca="false">C67*D67</f>
        <v>451</v>
      </c>
      <c r="G67" s="10" t="s">
        <v>284</v>
      </c>
      <c r="H67" s="11" t="s">
        <v>85</v>
      </c>
      <c r="I67" s="8" t="s">
        <v>22</v>
      </c>
      <c r="J67" s="5" t="s">
        <v>106</v>
      </c>
      <c r="K67" s="5" t="s">
        <v>268</v>
      </c>
      <c r="L67" s="6" t="s">
        <v>285</v>
      </c>
      <c r="M67" s="6" t="s">
        <v>270</v>
      </c>
      <c r="N67" s="11" t="s">
        <v>26</v>
      </c>
    </row>
    <row r="68" customFormat="false" ht="15" hidden="false" customHeight="false" outlineLevel="0" collapsed="false">
      <c r="A68" s="12" t="n">
        <v>59</v>
      </c>
      <c r="B68" s="12" t="s">
        <v>286</v>
      </c>
      <c r="C68" s="13" t="n">
        <f aca="false">IF(SUMIFS(F25:F67,I25:I67,"O")/1.1&lt;60000,3000,0)</f>
        <v>0</v>
      </c>
      <c r="D68" s="14" t="n">
        <v>1</v>
      </c>
      <c r="E68" s="12" t="s">
        <v>100</v>
      </c>
      <c r="F68" s="15" t="n">
        <f aca="false">C68*D68</f>
        <v>0</v>
      </c>
      <c r="G68" s="12"/>
      <c r="H68" s="12" t="s">
        <v>85</v>
      </c>
      <c r="I68" s="14" t="s">
        <v>22</v>
      </c>
      <c r="J68" s="12"/>
      <c r="K68" s="12"/>
      <c r="L68" s="12"/>
      <c r="M68" s="12"/>
      <c r="N68" s="12"/>
    </row>
    <row r="69" customFormat="false" ht="15" hidden="false" customHeight="false" outlineLevel="0" collapsed="false">
      <c r="A69" s="16"/>
      <c r="B69" s="17" t="s">
        <v>287</v>
      </c>
      <c r="C69" s="16"/>
      <c r="D69" s="16"/>
      <c r="E69" s="16"/>
      <c r="F69" s="18" t="n">
        <f aca="false">SUMIFS(F25:F68,I25:I68,"O")</f>
        <v>159848</v>
      </c>
      <c r="G69" s="16"/>
      <c r="H69" s="16"/>
      <c r="I69" s="16"/>
      <c r="J69" s="16"/>
      <c r="K69" s="16"/>
      <c r="L69" s="16"/>
      <c r="M69" s="16"/>
      <c r="N69" s="16"/>
    </row>
    <row r="71" customFormat="false" ht="15" hidden="false" customHeight="false" outlineLevel="0" collapsed="false">
      <c r="A71" s="4" t="s">
        <v>288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customFormat="false" ht="30.55" hidden="false" customHeight="false" outlineLevel="0" collapsed="false">
      <c r="A72" s="5" t="n">
        <v>60</v>
      </c>
      <c r="B72" s="6" t="s">
        <v>289</v>
      </c>
      <c r="C72" s="7" t="n">
        <v>200</v>
      </c>
      <c r="D72" s="8" t="n">
        <v>6</v>
      </c>
      <c r="E72" s="6" t="s">
        <v>290</v>
      </c>
      <c r="F72" s="9" t="n">
        <f aca="false">C72*D72</f>
        <v>1200</v>
      </c>
      <c r="G72" s="10" t="s">
        <v>291</v>
      </c>
      <c r="H72" s="11" t="s">
        <v>21</v>
      </c>
      <c r="I72" s="8" t="s">
        <v>22</v>
      </c>
      <c r="J72" s="5" t="s">
        <v>292</v>
      </c>
      <c r="K72" s="5" t="s">
        <v>293</v>
      </c>
      <c r="L72" s="6"/>
      <c r="M72" s="6" t="s">
        <v>37</v>
      </c>
      <c r="N72" s="11" t="s">
        <v>26</v>
      </c>
    </row>
    <row r="73" customFormat="false" ht="49.95" hidden="false" customHeight="false" outlineLevel="0" collapsed="false">
      <c r="A73" s="5" t="n">
        <v>61</v>
      </c>
      <c r="B73" s="6" t="s">
        <v>294</v>
      </c>
      <c r="C73" s="7" t="n">
        <v>9600</v>
      </c>
      <c r="D73" s="8" t="n">
        <v>2</v>
      </c>
      <c r="E73" s="6" t="s">
        <v>295</v>
      </c>
      <c r="F73" s="9" t="n">
        <f aca="false">C73*D73</f>
        <v>19200</v>
      </c>
      <c r="G73" s="10" t="s">
        <v>296</v>
      </c>
      <c r="H73" s="11" t="s">
        <v>21</v>
      </c>
      <c r="I73" s="8" t="s">
        <v>22</v>
      </c>
      <c r="J73" s="5" t="s">
        <v>297</v>
      </c>
      <c r="K73" s="5" t="s">
        <v>298</v>
      </c>
      <c r="L73" s="6"/>
      <c r="M73" s="6" t="s">
        <v>37</v>
      </c>
      <c r="N73" s="11" t="s">
        <v>26</v>
      </c>
    </row>
    <row r="74" customFormat="false" ht="40.25" hidden="false" customHeight="false" outlineLevel="0" collapsed="false">
      <c r="A74" s="5" t="n">
        <v>62</v>
      </c>
      <c r="B74" s="6" t="s">
        <v>299</v>
      </c>
      <c r="C74" s="7" t="n">
        <v>80</v>
      </c>
      <c r="D74" s="8" t="n">
        <v>10</v>
      </c>
      <c r="E74" s="6" t="s">
        <v>300</v>
      </c>
      <c r="F74" s="9" t="n">
        <f aca="false">C74*D74</f>
        <v>800</v>
      </c>
      <c r="G74" s="10" t="s">
        <v>291</v>
      </c>
      <c r="H74" s="11" t="s">
        <v>21</v>
      </c>
      <c r="I74" s="8" t="s">
        <v>22</v>
      </c>
      <c r="J74" s="5" t="s">
        <v>292</v>
      </c>
      <c r="K74" s="5" t="s">
        <v>301</v>
      </c>
      <c r="L74" s="6" t="s">
        <v>302</v>
      </c>
      <c r="M74" s="6" t="s">
        <v>137</v>
      </c>
      <c r="N74" s="11" t="s">
        <v>26</v>
      </c>
    </row>
    <row r="75" customFormat="false" ht="30.55" hidden="false" customHeight="false" outlineLevel="0" collapsed="false">
      <c r="A75" s="5" t="n">
        <v>63</v>
      </c>
      <c r="B75" s="6" t="s">
        <v>303</v>
      </c>
      <c r="C75" s="7" t="n">
        <v>2700</v>
      </c>
      <c r="D75" s="8" t="n">
        <v>1</v>
      </c>
      <c r="E75" s="6" t="s">
        <v>304</v>
      </c>
      <c r="F75" s="9" t="n">
        <f aca="false">C75*D75</f>
        <v>2700</v>
      </c>
      <c r="G75" s="10" t="s">
        <v>305</v>
      </c>
      <c r="H75" s="11" t="s">
        <v>21</v>
      </c>
      <c r="I75" s="8" t="s">
        <v>22</v>
      </c>
      <c r="J75" s="5" t="s">
        <v>306</v>
      </c>
      <c r="K75" s="5" t="s">
        <v>307</v>
      </c>
      <c r="L75" s="6"/>
      <c r="M75" s="6" t="s">
        <v>37</v>
      </c>
      <c r="N75" s="11" t="s">
        <v>26</v>
      </c>
    </row>
    <row r="76" customFormat="false" ht="59.7" hidden="false" customHeight="false" outlineLevel="0" collapsed="false">
      <c r="A76" s="5" t="n">
        <v>64</v>
      </c>
      <c r="B76" s="6" t="s">
        <v>308</v>
      </c>
      <c r="C76" s="7" t="n">
        <v>40</v>
      </c>
      <c r="D76" s="8" t="n">
        <v>20</v>
      </c>
      <c r="E76" s="6" t="s">
        <v>309</v>
      </c>
      <c r="F76" s="9" t="n">
        <f aca="false">C76*D76</f>
        <v>800</v>
      </c>
      <c r="G76" s="10" t="s">
        <v>310</v>
      </c>
      <c r="H76" s="11" t="s">
        <v>21</v>
      </c>
      <c r="I76" s="8" t="s">
        <v>22</v>
      </c>
      <c r="J76" s="5" t="s">
        <v>292</v>
      </c>
      <c r="K76" s="5" t="s">
        <v>311</v>
      </c>
      <c r="L76" s="6" t="s">
        <v>312</v>
      </c>
      <c r="M76" s="6" t="s">
        <v>313</v>
      </c>
      <c r="N76" s="11" t="s">
        <v>26</v>
      </c>
    </row>
    <row r="77" customFormat="false" ht="20.85" hidden="false" customHeight="false" outlineLevel="0" collapsed="false">
      <c r="A77" s="5" t="n">
        <v>65</v>
      </c>
      <c r="B77" s="6" t="s">
        <v>314</v>
      </c>
      <c r="C77" s="7" t="n">
        <v>50</v>
      </c>
      <c r="D77" s="8" t="n">
        <v>8</v>
      </c>
      <c r="E77" s="6" t="s">
        <v>315</v>
      </c>
      <c r="F77" s="9" t="n">
        <f aca="false">C77*D77</f>
        <v>400</v>
      </c>
      <c r="G77" s="10" t="s">
        <v>310</v>
      </c>
      <c r="H77" s="11" t="s">
        <v>21</v>
      </c>
      <c r="I77" s="8" t="s">
        <v>22</v>
      </c>
      <c r="J77" s="5" t="s">
        <v>292</v>
      </c>
      <c r="K77" s="5" t="s">
        <v>311</v>
      </c>
      <c r="L77" s="6" t="s">
        <v>316</v>
      </c>
      <c r="M77" s="6" t="s">
        <v>317</v>
      </c>
      <c r="N77" s="11" t="s">
        <v>26</v>
      </c>
    </row>
    <row r="78" customFormat="false" ht="40.25" hidden="false" customHeight="false" outlineLevel="0" collapsed="false">
      <c r="A78" s="5" t="n">
        <v>66</v>
      </c>
      <c r="B78" s="6" t="s">
        <v>318</v>
      </c>
      <c r="C78" s="7" t="n">
        <v>40</v>
      </c>
      <c r="D78" s="8" t="n">
        <v>8</v>
      </c>
      <c r="E78" s="6" t="s">
        <v>319</v>
      </c>
      <c r="F78" s="9" t="n">
        <f aca="false">C78*D78</f>
        <v>320</v>
      </c>
      <c r="G78" s="10" t="s">
        <v>320</v>
      </c>
      <c r="H78" s="11" t="s">
        <v>21</v>
      </c>
      <c r="I78" s="8" t="s">
        <v>22</v>
      </c>
      <c r="J78" s="5" t="s">
        <v>292</v>
      </c>
      <c r="K78" s="5" t="s">
        <v>321</v>
      </c>
      <c r="L78" s="6" t="s">
        <v>322</v>
      </c>
      <c r="M78" s="6" t="s">
        <v>137</v>
      </c>
      <c r="N78" s="11" t="s">
        <v>26</v>
      </c>
    </row>
    <row r="79" customFormat="false" ht="40.25" hidden="false" customHeight="false" outlineLevel="0" collapsed="false">
      <c r="A79" s="5" t="n">
        <v>67</v>
      </c>
      <c r="B79" s="6" t="s">
        <v>323</v>
      </c>
      <c r="C79" s="7" t="n">
        <v>50</v>
      </c>
      <c r="D79" s="8" t="n">
        <v>4</v>
      </c>
      <c r="E79" s="6" t="s">
        <v>324</v>
      </c>
      <c r="F79" s="9" t="n">
        <f aca="false">C79*D79</f>
        <v>200</v>
      </c>
      <c r="G79" s="10" t="s">
        <v>325</v>
      </c>
      <c r="H79" s="11" t="s">
        <v>21</v>
      </c>
      <c r="I79" s="8" t="s">
        <v>22</v>
      </c>
      <c r="J79" s="5" t="s">
        <v>292</v>
      </c>
      <c r="K79" s="5" t="s">
        <v>326</v>
      </c>
      <c r="L79" s="6" t="s">
        <v>327</v>
      </c>
      <c r="M79" s="6" t="s">
        <v>137</v>
      </c>
      <c r="N79" s="11" t="s">
        <v>26</v>
      </c>
    </row>
    <row r="80" customFormat="false" ht="59.7" hidden="false" customHeight="false" outlineLevel="0" collapsed="false">
      <c r="A80" s="5" t="n">
        <v>68</v>
      </c>
      <c r="B80" s="6" t="s">
        <v>328</v>
      </c>
      <c r="C80" s="7" t="n">
        <v>60</v>
      </c>
      <c r="D80" s="8" t="n">
        <v>28</v>
      </c>
      <c r="E80" s="6" t="s">
        <v>329</v>
      </c>
      <c r="F80" s="9" t="n">
        <f aca="false">C80*D80</f>
        <v>1680</v>
      </c>
      <c r="G80" s="10" t="s">
        <v>291</v>
      </c>
      <c r="H80" s="11" t="s">
        <v>21</v>
      </c>
      <c r="I80" s="8" t="s">
        <v>22</v>
      </c>
      <c r="J80" s="5" t="s">
        <v>292</v>
      </c>
      <c r="K80" s="5" t="s">
        <v>330</v>
      </c>
      <c r="L80" s="6" t="s">
        <v>331</v>
      </c>
      <c r="M80" s="6" t="s">
        <v>332</v>
      </c>
      <c r="N80" s="11" t="s">
        <v>26</v>
      </c>
    </row>
    <row r="81" customFormat="false" ht="40.25" hidden="false" customHeight="false" outlineLevel="0" collapsed="false">
      <c r="A81" s="5" t="n">
        <v>69</v>
      </c>
      <c r="B81" s="6" t="s">
        <v>333</v>
      </c>
      <c r="C81" s="7" t="n">
        <v>90</v>
      </c>
      <c r="D81" s="8" t="n">
        <v>6</v>
      </c>
      <c r="E81" s="6" t="s">
        <v>334</v>
      </c>
      <c r="F81" s="9" t="n">
        <f aca="false">C81*D81</f>
        <v>540</v>
      </c>
      <c r="G81" s="10" t="s">
        <v>291</v>
      </c>
      <c r="H81" s="11" t="s">
        <v>21</v>
      </c>
      <c r="I81" s="8" t="s">
        <v>22</v>
      </c>
      <c r="J81" s="5" t="s">
        <v>292</v>
      </c>
      <c r="K81" s="5" t="s">
        <v>335</v>
      </c>
      <c r="L81" s="6" t="s">
        <v>336</v>
      </c>
      <c r="M81" s="6" t="s">
        <v>137</v>
      </c>
      <c r="N81" s="11" t="s">
        <v>26</v>
      </c>
    </row>
    <row r="82" customFormat="false" ht="40.25" hidden="false" customHeight="false" outlineLevel="0" collapsed="false">
      <c r="A82" s="5" t="n">
        <v>70</v>
      </c>
      <c r="B82" s="6" t="s">
        <v>337</v>
      </c>
      <c r="C82" s="7" t="n">
        <v>40</v>
      </c>
      <c r="D82" s="8" t="n">
        <v>10</v>
      </c>
      <c r="E82" s="6" t="s">
        <v>338</v>
      </c>
      <c r="F82" s="9" t="n">
        <f aca="false">C82*D82</f>
        <v>400</v>
      </c>
      <c r="G82" s="10" t="s">
        <v>291</v>
      </c>
      <c r="H82" s="11" t="s">
        <v>21</v>
      </c>
      <c r="I82" s="8" t="s">
        <v>22</v>
      </c>
      <c r="J82" s="5" t="s">
        <v>292</v>
      </c>
      <c r="K82" s="5" t="s">
        <v>339</v>
      </c>
      <c r="L82" s="6" t="s">
        <v>340</v>
      </c>
      <c r="M82" s="6" t="s">
        <v>137</v>
      </c>
      <c r="N82" s="11" t="s">
        <v>26</v>
      </c>
    </row>
    <row r="83" customFormat="false" ht="49.95" hidden="false" customHeight="false" outlineLevel="0" collapsed="false">
      <c r="A83" s="5" t="n">
        <v>71</v>
      </c>
      <c r="B83" s="6" t="s">
        <v>341</v>
      </c>
      <c r="C83" s="7" t="n">
        <v>40</v>
      </c>
      <c r="D83" s="8" t="n">
        <v>24</v>
      </c>
      <c r="E83" s="6" t="s">
        <v>342</v>
      </c>
      <c r="F83" s="9" t="n">
        <f aca="false">C83*D83</f>
        <v>960</v>
      </c>
      <c r="G83" s="10" t="s">
        <v>291</v>
      </c>
      <c r="H83" s="11" t="s">
        <v>21</v>
      </c>
      <c r="I83" s="8" t="s">
        <v>22</v>
      </c>
      <c r="J83" s="5" t="s">
        <v>292</v>
      </c>
      <c r="K83" s="5" t="s">
        <v>343</v>
      </c>
      <c r="L83" s="6"/>
      <c r="M83" s="6" t="s">
        <v>344</v>
      </c>
      <c r="N83" s="11" t="s">
        <v>26</v>
      </c>
    </row>
    <row r="84" customFormat="false" ht="20.85" hidden="false" customHeight="false" outlineLevel="0" collapsed="false">
      <c r="A84" s="5" t="n">
        <v>72</v>
      </c>
      <c r="B84" s="6" t="s">
        <v>345</v>
      </c>
      <c r="C84" s="7" t="n">
        <v>10</v>
      </c>
      <c r="D84" s="8" t="n">
        <v>20</v>
      </c>
      <c r="E84" s="6" t="s">
        <v>346</v>
      </c>
      <c r="F84" s="9" t="n">
        <f aca="false">C84*D84</f>
        <v>200</v>
      </c>
      <c r="G84" s="10" t="s">
        <v>291</v>
      </c>
      <c r="H84" s="11" t="s">
        <v>21</v>
      </c>
      <c r="I84" s="8" t="s">
        <v>22</v>
      </c>
      <c r="J84" s="5" t="s">
        <v>292</v>
      </c>
      <c r="K84" s="5" t="s">
        <v>347</v>
      </c>
      <c r="L84" s="6"/>
      <c r="M84" s="6" t="s">
        <v>348</v>
      </c>
      <c r="N84" s="11" t="s">
        <v>26</v>
      </c>
    </row>
    <row r="85" customFormat="false" ht="30.55" hidden="false" customHeight="false" outlineLevel="0" collapsed="false">
      <c r="A85" s="5" t="n">
        <v>73</v>
      </c>
      <c r="B85" s="6" t="s">
        <v>349</v>
      </c>
      <c r="C85" s="7" t="n">
        <v>2100</v>
      </c>
      <c r="D85" s="8" t="n">
        <v>3</v>
      </c>
      <c r="E85" s="6" t="s">
        <v>350</v>
      </c>
      <c r="F85" s="9" t="n">
        <f aca="false">C85*D85</f>
        <v>6300</v>
      </c>
      <c r="G85" s="10" t="s">
        <v>351</v>
      </c>
      <c r="H85" s="11" t="s">
        <v>21</v>
      </c>
      <c r="I85" s="8" t="s">
        <v>22</v>
      </c>
      <c r="J85" s="5" t="s">
        <v>352</v>
      </c>
      <c r="K85" s="5" t="s">
        <v>353</v>
      </c>
      <c r="L85" s="6" t="s">
        <v>354</v>
      </c>
      <c r="M85" s="6" t="s">
        <v>25</v>
      </c>
      <c r="N85" s="11" t="s">
        <v>26</v>
      </c>
    </row>
    <row r="86" customFormat="false" ht="20.85" hidden="false" customHeight="false" outlineLevel="0" collapsed="false">
      <c r="A86" s="5" t="n">
        <v>74</v>
      </c>
      <c r="B86" s="6" t="s">
        <v>355</v>
      </c>
      <c r="C86" s="7" t="n">
        <v>1500</v>
      </c>
      <c r="D86" s="8" t="n">
        <v>1</v>
      </c>
      <c r="E86" s="6" t="s">
        <v>356</v>
      </c>
      <c r="F86" s="9" t="n">
        <f aca="false">C86*D86</f>
        <v>1500</v>
      </c>
      <c r="G86" s="10" t="s">
        <v>357</v>
      </c>
      <c r="H86" s="11" t="s">
        <v>21</v>
      </c>
      <c r="I86" s="8" t="s">
        <v>22</v>
      </c>
      <c r="J86" s="5" t="s">
        <v>352</v>
      </c>
      <c r="K86" s="5" t="s">
        <v>353</v>
      </c>
      <c r="L86" s="6" t="s">
        <v>358</v>
      </c>
      <c r="M86" s="6" t="s">
        <v>25</v>
      </c>
      <c r="N86" s="11" t="s">
        <v>26</v>
      </c>
    </row>
    <row r="87" customFormat="false" ht="20.85" hidden="false" customHeight="false" outlineLevel="0" collapsed="false">
      <c r="A87" s="5" t="n">
        <v>75</v>
      </c>
      <c r="B87" s="6" t="s">
        <v>359</v>
      </c>
      <c r="C87" s="7" t="n">
        <v>8750</v>
      </c>
      <c r="D87" s="8" t="n">
        <v>1</v>
      </c>
      <c r="E87" s="6" t="s">
        <v>360</v>
      </c>
      <c r="F87" s="9" t="n">
        <f aca="false">C87*D87</f>
        <v>8750</v>
      </c>
      <c r="G87" s="10" t="s">
        <v>361</v>
      </c>
      <c r="H87" s="11" t="s">
        <v>85</v>
      </c>
      <c r="I87" s="8" t="s">
        <v>22</v>
      </c>
      <c r="J87" s="5" t="s">
        <v>362</v>
      </c>
      <c r="K87" s="5" t="s">
        <v>363</v>
      </c>
      <c r="L87" s="6"/>
      <c r="M87" s="6" t="s">
        <v>25</v>
      </c>
      <c r="N87" s="11" t="s">
        <v>26</v>
      </c>
    </row>
    <row r="88" customFormat="false" ht="15" hidden="false" customHeight="false" outlineLevel="0" collapsed="false">
      <c r="A88" s="5" t="n">
        <v>76</v>
      </c>
      <c r="B88" s="6" t="s">
        <v>364</v>
      </c>
      <c r="C88" s="7" t="n">
        <v>600</v>
      </c>
      <c r="D88" s="8" t="n">
        <v>1</v>
      </c>
      <c r="E88" s="6" t="s">
        <v>365</v>
      </c>
      <c r="F88" s="9" t="n">
        <f aca="false">C88*D88</f>
        <v>600</v>
      </c>
      <c r="G88" s="10" t="s">
        <v>291</v>
      </c>
      <c r="H88" s="11" t="s">
        <v>233</v>
      </c>
      <c r="I88" s="8" t="s">
        <v>22</v>
      </c>
      <c r="J88" s="5" t="s">
        <v>292</v>
      </c>
      <c r="K88" s="5" t="s">
        <v>366</v>
      </c>
      <c r="L88" s="6"/>
      <c r="M88" s="6" t="s">
        <v>25</v>
      </c>
      <c r="N88" s="11" t="s">
        <v>26</v>
      </c>
    </row>
    <row r="89" customFormat="false" ht="15" hidden="false" customHeight="false" outlineLevel="0" collapsed="false">
      <c r="A89" s="5" t="n">
        <v>77</v>
      </c>
      <c r="B89" s="6" t="s">
        <v>367</v>
      </c>
      <c r="C89" s="7" t="n">
        <v>600</v>
      </c>
      <c r="D89" s="8" t="n">
        <v>1</v>
      </c>
      <c r="E89" s="6" t="s">
        <v>368</v>
      </c>
      <c r="F89" s="9" t="n">
        <f aca="false">C89*D89</f>
        <v>600</v>
      </c>
      <c r="G89" s="10" t="s">
        <v>291</v>
      </c>
      <c r="H89" s="11" t="s">
        <v>233</v>
      </c>
      <c r="I89" s="8" t="s">
        <v>22</v>
      </c>
      <c r="J89" s="5" t="s">
        <v>292</v>
      </c>
      <c r="K89" s="5" t="s">
        <v>369</v>
      </c>
      <c r="L89" s="6" t="s">
        <v>370</v>
      </c>
      <c r="M89" s="6" t="s">
        <v>252</v>
      </c>
      <c r="N89" s="11" t="s">
        <v>26</v>
      </c>
    </row>
    <row r="90" customFormat="false" ht="49.95" hidden="false" customHeight="false" outlineLevel="0" collapsed="false">
      <c r="A90" s="5" t="n">
        <v>78</v>
      </c>
      <c r="B90" s="6" t="s">
        <v>371</v>
      </c>
      <c r="C90" s="7" t="n">
        <v>1500</v>
      </c>
      <c r="D90" s="8" t="n">
        <v>2</v>
      </c>
      <c r="E90" s="6" t="s">
        <v>372</v>
      </c>
      <c r="F90" s="9" t="n">
        <f aca="false">C90*D90</f>
        <v>3000</v>
      </c>
      <c r="G90" s="10" t="s">
        <v>373</v>
      </c>
      <c r="H90" s="11" t="s">
        <v>21</v>
      </c>
      <c r="I90" s="8" t="s">
        <v>22</v>
      </c>
      <c r="J90" s="5" t="s">
        <v>374</v>
      </c>
      <c r="K90" s="5" t="s">
        <v>375</v>
      </c>
      <c r="L90" s="6" t="s">
        <v>376</v>
      </c>
      <c r="M90" s="6" t="s">
        <v>252</v>
      </c>
      <c r="N90" s="11" t="s">
        <v>26</v>
      </c>
    </row>
    <row r="91" customFormat="false" ht="79.1" hidden="false" customHeight="false" outlineLevel="0" collapsed="false">
      <c r="A91" s="5" t="n">
        <v>79</v>
      </c>
      <c r="B91" s="6" t="s">
        <v>371</v>
      </c>
      <c r="C91" s="7" t="n">
        <v>1500</v>
      </c>
      <c r="D91" s="8" t="n">
        <v>2</v>
      </c>
      <c r="E91" s="6" t="s">
        <v>377</v>
      </c>
      <c r="F91" s="9" t="n">
        <f aca="false">C91*D91</f>
        <v>3000</v>
      </c>
      <c r="G91" s="10" t="s">
        <v>373</v>
      </c>
      <c r="H91" s="11" t="s">
        <v>21</v>
      </c>
      <c r="I91" s="8" t="s">
        <v>22</v>
      </c>
      <c r="J91" s="5" t="s">
        <v>374</v>
      </c>
      <c r="K91" s="5" t="s">
        <v>378</v>
      </c>
      <c r="L91" s="6" t="s">
        <v>379</v>
      </c>
      <c r="M91" s="6" t="s">
        <v>252</v>
      </c>
      <c r="N91" s="11" t="s">
        <v>26</v>
      </c>
    </row>
    <row r="92" customFormat="false" ht="98.5" hidden="false" customHeight="false" outlineLevel="0" collapsed="false">
      <c r="A92" s="5" t="n">
        <v>80</v>
      </c>
      <c r="B92" s="6" t="s">
        <v>380</v>
      </c>
      <c r="C92" s="7" t="n">
        <v>0</v>
      </c>
      <c r="D92" s="8" t="n">
        <v>1</v>
      </c>
      <c r="E92" s="6" t="s">
        <v>381</v>
      </c>
      <c r="F92" s="9" t="n">
        <f aca="false">C92*D92</f>
        <v>0</v>
      </c>
      <c r="G92" s="10" t="s">
        <v>357</v>
      </c>
      <c r="H92" s="11" t="s">
        <v>21</v>
      </c>
      <c r="I92" s="8" t="s">
        <v>22</v>
      </c>
      <c r="J92" s="5" t="s">
        <v>352</v>
      </c>
      <c r="K92" s="5" t="s">
        <v>382</v>
      </c>
      <c r="L92" s="6" t="s">
        <v>383</v>
      </c>
      <c r="M92" s="6" t="s">
        <v>252</v>
      </c>
      <c r="N92" s="11" t="s">
        <v>26</v>
      </c>
    </row>
    <row r="93" customFormat="false" ht="40.25" hidden="false" customHeight="false" outlineLevel="0" collapsed="false">
      <c r="A93" s="5" t="n">
        <v>81</v>
      </c>
      <c r="B93" s="6" t="s">
        <v>384</v>
      </c>
      <c r="C93" s="7" t="n">
        <v>2750</v>
      </c>
      <c r="D93" s="8" t="n">
        <v>1</v>
      </c>
      <c r="E93" s="6" t="s">
        <v>385</v>
      </c>
      <c r="F93" s="9" t="n">
        <f aca="false">C93*D93</f>
        <v>2750</v>
      </c>
      <c r="G93" s="10" t="s">
        <v>386</v>
      </c>
      <c r="H93" s="11" t="s">
        <v>85</v>
      </c>
      <c r="I93" s="8" t="s">
        <v>22</v>
      </c>
      <c r="J93" s="5" t="s">
        <v>387</v>
      </c>
      <c r="K93" s="5" t="s">
        <v>388</v>
      </c>
      <c r="L93" s="6" t="s">
        <v>389</v>
      </c>
      <c r="M93" s="6" t="s">
        <v>252</v>
      </c>
      <c r="N93" s="11" t="s">
        <v>26</v>
      </c>
    </row>
    <row r="94" customFormat="false" ht="30.55" hidden="false" customHeight="false" outlineLevel="0" collapsed="false">
      <c r="A94" s="5" t="n">
        <v>82</v>
      </c>
      <c r="B94" s="6" t="s">
        <v>390</v>
      </c>
      <c r="C94" s="7" t="n">
        <v>8000</v>
      </c>
      <c r="D94" s="8" t="n">
        <v>2</v>
      </c>
      <c r="E94" s="6" t="s">
        <v>391</v>
      </c>
      <c r="F94" s="9" t="n">
        <f aca="false">C94*D94</f>
        <v>16000</v>
      </c>
      <c r="G94" s="10" t="s">
        <v>392</v>
      </c>
      <c r="H94" s="11" t="s">
        <v>85</v>
      </c>
      <c r="I94" s="8" t="s">
        <v>22</v>
      </c>
      <c r="J94" s="5" t="s">
        <v>393</v>
      </c>
      <c r="K94" s="5" t="s">
        <v>394</v>
      </c>
      <c r="L94" s="6" t="s">
        <v>395</v>
      </c>
      <c r="M94" s="6" t="s">
        <v>396</v>
      </c>
      <c r="N94" s="11" t="s">
        <v>26</v>
      </c>
    </row>
    <row r="95" customFormat="false" ht="49.95" hidden="false" customHeight="false" outlineLevel="0" collapsed="false">
      <c r="A95" s="5" t="n">
        <v>83</v>
      </c>
      <c r="B95" s="6" t="s">
        <v>397</v>
      </c>
      <c r="C95" s="7" t="n">
        <v>70</v>
      </c>
      <c r="D95" s="8" t="n">
        <v>4</v>
      </c>
      <c r="E95" s="6" t="s">
        <v>266</v>
      </c>
      <c r="F95" s="9" t="n">
        <f aca="false">C95*D95</f>
        <v>280</v>
      </c>
      <c r="G95" s="10" t="s">
        <v>291</v>
      </c>
      <c r="H95" s="11" t="s">
        <v>21</v>
      </c>
      <c r="I95" s="8" t="s">
        <v>22</v>
      </c>
      <c r="J95" s="5" t="s">
        <v>292</v>
      </c>
      <c r="K95" s="5" t="s">
        <v>268</v>
      </c>
      <c r="L95" s="6" t="s">
        <v>398</v>
      </c>
      <c r="M95" s="6" t="s">
        <v>270</v>
      </c>
      <c r="N95" s="11" t="s">
        <v>26</v>
      </c>
    </row>
    <row r="96" customFormat="false" ht="59.7" hidden="false" customHeight="false" outlineLevel="0" collapsed="false">
      <c r="A96" s="5" t="n">
        <v>84</v>
      </c>
      <c r="B96" s="6" t="s">
        <v>399</v>
      </c>
      <c r="C96" s="7" t="n">
        <v>200</v>
      </c>
      <c r="D96" s="8" t="n">
        <v>4</v>
      </c>
      <c r="E96" s="6" t="s">
        <v>266</v>
      </c>
      <c r="F96" s="9" t="n">
        <f aca="false">C96*D96</f>
        <v>800</v>
      </c>
      <c r="G96" s="10" t="s">
        <v>291</v>
      </c>
      <c r="H96" s="11" t="s">
        <v>21</v>
      </c>
      <c r="I96" s="8" t="s">
        <v>22</v>
      </c>
      <c r="J96" s="5" t="s">
        <v>292</v>
      </c>
      <c r="K96" s="5" t="s">
        <v>268</v>
      </c>
      <c r="L96" s="6" t="s">
        <v>400</v>
      </c>
      <c r="M96" s="6" t="s">
        <v>270</v>
      </c>
      <c r="N96" s="11" t="s">
        <v>26</v>
      </c>
    </row>
    <row r="97" customFormat="false" ht="15" hidden="false" customHeight="false" outlineLevel="0" collapsed="false">
      <c r="A97" s="12" t="n">
        <v>85</v>
      </c>
      <c r="B97" s="12" t="s">
        <v>401</v>
      </c>
      <c r="C97" s="13" t="n">
        <v>3500</v>
      </c>
      <c r="D97" s="14" t="n">
        <v>1</v>
      </c>
      <c r="E97" s="12" t="s">
        <v>100</v>
      </c>
      <c r="F97" s="15" t="n">
        <f aca="false">C97*D97</f>
        <v>3500</v>
      </c>
      <c r="G97" s="12"/>
      <c r="H97" s="12" t="s">
        <v>21</v>
      </c>
      <c r="I97" s="14" t="s">
        <v>22</v>
      </c>
      <c r="J97" s="12"/>
      <c r="K97" s="12"/>
      <c r="L97" s="12"/>
      <c r="M97" s="12"/>
      <c r="N97" s="12"/>
    </row>
    <row r="98" customFormat="false" ht="15" hidden="false" customHeight="false" outlineLevel="0" collapsed="false">
      <c r="A98" s="12" t="n">
        <v>86</v>
      </c>
      <c r="B98" s="12" t="s">
        <v>402</v>
      </c>
      <c r="C98" s="13" t="n">
        <v>4000</v>
      </c>
      <c r="D98" s="14" t="n">
        <v>1</v>
      </c>
      <c r="E98" s="12" t="s">
        <v>100</v>
      </c>
      <c r="F98" s="15" t="n">
        <f aca="false">C98*D98</f>
        <v>4000</v>
      </c>
      <c r="G98" s="12"/>
      <c r="H98" s="12" t="s">
        <v>21</v>
      </c>
      <c r="I98" s="14" t="s">
        <v>22</v>
      </c>
      <c r="J98" s="12"/>
      <c r="K98" s="12"/>
      <c r="L98" s="12"/>
      <c r="M98" s="12"/>
      <c r="N98" s="12"/>
    </row>
    <row r="99" customFormat="false" ht="15" hidden="false" customHeight="false" outlineLevel="0" collapsed="false">
      <c r="A99" s="12" t="n">
        <v>87</v>
      </c>
      <c r="B99" s="12" t="s">
        <v>403</v>
      </c>
      <c r="C99" s="13" t="n">
        <v>3000</v>
      </c>
      <c r="D99" s="14" t="n">
        <v>1</v>
      </c>
      <c r="E99" s="12" t="s">
        <v>100</v>
      </c>
      <c r="F99" s="15" t="n">
        <f aca="false">C99*D99</f>
        <v>3000</v>
      </c>
      <c r="G99" s="12"/>
      <c r="H99" s="12" t="s">
        <v>21</v>
      </c>
      <c r="I99" s="14" t="s">
        <v>22</v>
      </c>
      <c r="J99" s="12"/>
      <c r="K99" s="12"/>
      <c r="L99" s="12"/>
      <c r="M99" s="12"/>
      <c r="N99" s="12"/>
    </row>
    <row r="100" customFormat="false" ht="15" hidden="false" customHeight="false" outlineLevel="0" collapsed="false">
      <c r="A100" s="12" t="n">
        <v>88</v>
      </c>
      <c r="B100" s="12" t="s">
        <v>404</v>
      </c>
      <c r="C100" s="13" t="n">
        <v>3000</v>
      </c>
      <c r="D100" s="14" t="n">
        <v>1</v>
      </c>
      <c r="E100" s="12" t="s">
        <v>100</v>
      </c>
      <c r="F100" s="15" t="n">
        <f aca="false">C100*D100</f>
        <v>3000</v>
      </c>
      <c r="G100" s="12"/>
      <c r="H100" s="12" t="s">
        <v>21</v>
      </c>
      <c r="I100" s="14" t="s">
        <v>22</v>
      </c>
      <c r="J100" s="12"/>
      <c r="K100" s="12"/>
      <c r="L100" s="12"/>
      <c r="M100" s="12"/>
      <c r="N100" s="12"/>
    </row>
    <row r="101" customFormat="false" ht="15" hidden="false" customHeight="false" outlineLevel="0" collapsed="false">
      <c r="A101" s="12" t="n">
        <v>89</v>
      </c>
      <c r="B101" s="12" t="s">
        <v>405</v>
      </c>
      <c r="C101" s="13" t="n">
        <v>3500</v>
      </c>
      <c r="D101" s="14" t="n">
        <v>1</v>
      </c>
      <c r="E101" s="12" t="s">
        <v>100</v>
      </c>
      <c r="F101" s="15" t="n">
        <f aca="false">C101*D101</f>
        <v>3500</v>
      </c>
      <c r="G101" s="12"/>
      <c r="H101" s="12" t="s">
        <v>21</v>
      </c>
      <c r="I101" s="14" t="s">
        <v>22</v>
      </c>
      <c r="J101" s="12"/>
      <c r="K101" s="12"/>
      <c r="L101" s="12"/>
      <c r="M101" s="12"/>
      <c r="N101" s="12"/>
    </row>
    <row r="102" customFormat="false" ht="15" hidden="false" customHeight="false" outlineLevel="0" collapsed="false">
      <c r="A102" s="12" t="n">
        <v>90</v>
      </c>
      <c r="B102" s="12" t="s">
        <v>406</v>
      </c>
      <c r="C102" s="13" t="n">
        <v>3000</v>
      </c>
      <c r="D102" s="14" t="n">
        <v>1</v>
      </c>
      <c r="E102" s="12" t="s">
        <v>100</v>
      </c>
      <c r="F102" s="15" t="n">
        <f aca="false">C102*D102</f>
        <v>3000</v>
      </c>
      <c r="G102" s="12"/>
      <c r="H102" s="12" t="s">
        <v>85</v>
      </c>
      <c r="I102" s="14" t="s">
        <v>22</v>
      </c>
      <c r="J102" s="12"/>
      <c r="K102" s="12"/>
      <c r="L102" s="12"/>
      <c r="M102" s="12"/>
      <c r="N102" s="12"/>
    </row>
    <row r="103" customFormat="false" ht="15" hidden="false" customHeight="false" outlineLevel="0" collapsed="false">
      <c r="A103" s="12" t="n">
        <v>91</v>
      </c>
      <c r="B103" s="12" t="s">
        <v>407</v>
      </c>
      <c r="C103" s="13" t="n">
        <v>3000</v>
      </c>
      <c r="D103" s="14" t="n">
        <v>1</v>
      </c>
      <c r="E103" s="12" t="s">
        <v>100</v>
      </c>
      <c r="F103" s="15" t="n">
        <f aca="false">C103*D103</f>
        <v>3000</v>
      </c>
      <c r="G103" s="12"/>
      <c r="H103" s="12" t="s">
        <v>85</v>
      </c>
      <c r="I103" s="14" t="s">
        <v>22</v>
      </c>
      <c r="J103" s="12"/>
      <c r="K103" s="12"/>
      <c r="L103" s="12"/>
      <c r="M103" s="12"/>
      <c r="N103" s="12"/>
    </row>
    <row r="104" customFormat="false" ht="15" hidden="false" customHeight="false" outlineLevel="0" collapsed="false">
      <c r="A104" s="16"/>
      <c r="B104" s="17" t="s">
        <v>408</v>
      </c>
      <c r="C104" s="16"/>
      <c r="D104" s="16"/>
      <c r="E104" s="16"/>
      <c r="F104" s="18" t="n">
        <f aca="false">SUMIFS(F72:F103,I72:I103,"O")</f>
        <v>95980</v>
      </c>
      <c r="G104" s="16"/>
      <c r="H104" s="16"/>
      <c r="I104" s="16"/>
      <c r="J104" s="16"/>
      <c r="K104" s="16"/>
      <c r="L104" s="16"/>
      <c r="M104" s="16"/>
      <c r="N104" s="16"/>
    </row>
    <row r="106" customFormat="false" ht="15" hidden="false" customHeight="false" outlineLevel="0" collapsed="false">
      <c r="A106" s="4" t="s">
        <v>409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customFormat="false" ht="20.85" hidden="false" customHeight="false" outlineLevel="0" collapsed="false">
      <c r="A107" s="5" t="n">
        <v>92</v>
      </c>
      <c r="B107" s="6" t="s">
        <v>410</v>
      </c>
      <c r="C107" s="7" t="n">
        <v>1400</v>
      </c>
      <c r="D107" s="8" t="n">
        <v>1</v>
      </c>
      <c r="E107" s="6" t="s">
        <v>411</v>
      </c>
      <c r="F107" s="9" t="n">
        <f aca="false">C107*D107</f>
        <v>1400</v>
      </c>
      <c r="G107" s="10" t="s">
        <v>412</v>
      </c>
      <c r="H107" s="11" t="s">
        <v>21</v>
      </c>
      <c r="I107" s="8" t="s">
        <v>22</v>
      </c>
      <c r="J107" s="5" t="s">
        <v>413</v>
      </c>
      <c r="K107" s="5" t="s">
        <v>414</v>
      </c>
      <c r="L107" s="6"/>
      <c r="M107" s="6" t="s">
        <v>25</v>
      </c>
      <c r="N107" s="11" t="s">
        <v>26</v>
      </c>
    </row>
    <row r="108" customFormat="false" ht="20.85" hidden="false" customHeight="false" outlineLevel="0" collapsed="false">
      <c r="A108" s="5" t="n">
        <v>93</v>
      </c>
      <c r="B108" s="6" t="s">
        <v>415</v>
      </c>
      <c r="C108" s="7" t="n">
        <v>2200</v>
      </c>
      <c r="D108" s="8" t="n">
        <v>2</v>
      </c>
      <c r="E108" s="6" t="s">
        <v>416</v>
      </c>
      <c r="F108" s="9" t="n">
        <f aca="false">C108*D108</f>
        <v>4400</v>
      </c>
      <c r="G108" s="10" t="s">
        <v>417</v>
      </c>
      <c r="H108" s="11" t="s">
        <v>21</v>
      </c>
      <c r="I108" s="8" t="s">
        <v>22</v>
      </c>
      <c r="J108" s="5" t="s">
        <v>413</v>
      </c>
      <c r="K108" s="5" t="s">
        <v>418</v>
      </c>
      <c r="L108" s="6"/>
      <c r="M108" s="6" t="s">
        <v>25</v>
      </c>
      <c r="N108" s="11" t="s">
        <v>26</v>
      </c>
    </row>
    <row r="109" customFormat="false" ht="20.85" hidden="false" customHeight="false" outlineLevel="0" collapsed="false">
      <c r="A109" s="5" t="n">
        <v>94</v>
      </c>
      <c r="B109" s="6" t="s">
        <v>419</v>
      </c>
      <c r="C109" s="7" t="n">
        <v>520</v>
      </c>
      <c r="D109" s="8" t="n">
        <v>8</v>
      </c>
      <c r="E109" s="6" t="s">
        <v>420</v>
      </c>
      <c r="F109" s="9" t="n">
        <f aca="false">C109*D109</f>
        <v>4160</v>
      </c>
      <c r="G109" s="10" t="s">
        <v>421</v>
      </c>
      <c r="H109" s="11" t="s">
        <v>21</v>
      </c>
      <c r="I109" s="8" t="s">
        <v>22</v>
      </c>
      <c r="J109" s="5" t="s">
        <v>413</v>
      </c>
      <c r="K109" s="5" t="s">
        <v>422</v>
      </c>
      <c r="L109" s="6" t="s">
        <v>423</v>
      </c>
      <c r="M109" s="6" t="s">
        <v>25</v>
      </c>
      <c r="N109" s="11" t="s">
        <v>26</v>
      </c>
    </row>
    <row r="110" customFormat="false" ht="15" hidden="false" customHeight="false" outlineLevel="0" collapsed="false">
      <c r="A110" s="12" t="n">
        <v>95</v>
      </c>
      <c r="B110" s="12" t="s">
        <v>424</v>
      </c>
      <c r="C110" s="13" t="n">
        <v>3000</v>
      </c>
      <c r="D110" s="14" t="n">
        <v>1</v>
      </c>
      <c r="E110" s="12" t="s">
        <v>100</v>
      </c>
      <c r="F110" s="15" t="n">
        <f aca="false">C110*D110</f>
        <v>3000</v>
      </c>
      <c r="G110" s="12"/>
      <c r="H110" s="12" t="s">
        <v>21</v>
      </c>
      <c r="I110" s="14" t="s">
        <v>22</v>
      </c>
      <c r="J110" s="12"/>
      <c r="K110" s="12"/>
      <c r="L110" s="12"/>
      <c r="M110" s="12"/>
      <c r="N110" s="12"/>
    </row>
    <row r="111" customFormat="false" ht="15" hidden="false" customHeight="false" outlineLevel="0" collapsed="false">
      <c r="A111" s="16"/>
      <c r="B111" s="17" t="s">
        <v>425</v>
      </c>
      <c r="C111" s="16"/>
      <c r="D111" s="16"/>
      <c r="E111" s="16"/>
      <c r="F111" s="18" t="n">
        <f aca="false">SUMIFS(F107:F110,I107:I110,"O")</f>
        <v>12960</v>
      </c>
      <c r="G111" s="16"/>
      <c r="H111" s="16"/>
      <c r="I111" s="16"/>
      <c r="J111" s="16"/>
      <c r="K111" s="16"/>
      <c r="L111" s="16"/>
      <c r="M111" s="16"/>
      <c r="N111" s="16"/>
    </row>
    <row r="113" customFormat="false" ht="15" hidden="false" customHeight="false" outlineLevel="0" collapsed="false">
      <c r="A113" s="4" t="s">
        <v>426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customFormat="false" ht="40.25" hidden="false" customHeight="false" outlineLevel="0" collapsed="false">
      <c r="A114" s="5" t="n">
        <v>96</v>
      </c>
      <c r="B114" s="6" t="s">
        <v>427</v>
      </c>
      <c r="C114" s="7" t="n">
        <v>3300</v>
      </c>
      <c r="D114" s="8" t="n">
        <v>8</v>
      </c>
      <c r="E114" s="6" t="s">
        <v>428</v>
      </c>
      <c r="F114" s="9" t="n">
        <f aca="false">C114*D114</f>
        <v>26400</v>
      </c>
      <c r="G114" s="10" t="s">
        <v>429</v>
      </c>
      <c r="H114" s="11" t="s">
        <v>21</v>
      </c>
      <c r="I114" s="8" t="s">
        <v>22</v>
      </c>
      <c r="J114" s="5" t="s">
        <v>430</v>
      </c>
      <c r="K114" s="5" t="s">
        <v>431</v>
      </c>
      <c r="L114" s="6" t="s">
        <v>432</v>
      </c>
      <c r="M114" s="6" t="s">
        <v>76</v>
      </c>
      <c r="N114" s="11" t="s">
        <v>26</v>
      </c>
    </row>
    <row r="115" customFormat="false" ht="20.85" hidden="false" customHeight="false" outlineLevel="0" collapsed="false">
      <c r="A115" s="5" t="n">
        <v>97</v>
      </c>
      <c r="B115" s="6" t="s">
        <v>433</v>
      </c>
      <c r="C115" s="7" t="n">
        <v>500</v>
      </c>
      <c r="D115" s="8" t="n">
        <v>7</v>
      </c>
      <c r="E115" s="6" t="s">
        <v>434</v>
      </c>
      <c r="F115" s="9" t="n">
        <f aca="false">C115*D115</f>
        <v>3500</v>
      </c>
      <c r="G115" s="10" t="s">
        <v>435</v>
      </c>
      <c r="H115" s="11" t="s">
        <v>21</v>
      </c>
      <c r="I115" s="8" t="s">
        <v>22</v>
      </c>
      <c r="J115" s="5" t="s">
        <v>430</v>
      </c>
      <c r="K115" s="5" t="s">
        <v>431</v>
      </c>
      <c r="L115" s="6" t="s">
        <v>436</v>
      </c>
      <c r="M115" s="6" t="s">
        <v>25</v>
      </c>
      <c r="N115" s="11" t="s">
        <v>26</v>
      </c>
    </row>
    <row r="116" customFormat="false" ht="15" hidden="false" customHeight="false" outlineLevel="0" collapsed="false">
      <c r="A116" s="12" t="n">
        <v>98</v>
      </c>
      <c r="B116" s="12" t="s">
        <v>437</v>
      </c>
      <c r="C116" s="13" t="n">
        <v>3000</v>
      </c>
      <c r="D116" s="14" t="n">
        <v>1</v>
      </c>
      <c r="E116" s="12" t="s">
        <v>100</v>
      </c>
      <c r="F116" s="15" t="n">
        <f aca="false">C116*D116</f>
        <v>3000</v>
      </c>
      <c r="G116" s="12"/>
      <c r="H116" s="12" t="s">
        <v>21</v>
      </c>
      <c r="I116" s="14" t="s">
        <v>22</v>
      </c>
      <c r="J116" s="12"/>
      <c r="K116" s="12"/>
      <c r="L116" s="12"/>
      <c r="M116" s="12"/>
      <c r="N116" s="12"/>
    </row>
    <row r="117" customFormat="false" ht="15" hidden="false" customHeight="false" outlineLevel="0" collapsed="false">
      <c r="A117" s="16"/>
      <c r="B117" s="17" t="s">
        <v>438</v>
      </c>
      <c r="C117" s="16"/>
      <c r="D117" s="16"/>
      <c r="E117" s="16"/>
      <c r="F117" s="18" t="n">
        <f aca="false">SUMIFS(F114:F116,I114:I116,"O")</f>
        <v>32900</v>
      </c>
      <c r="G117" s="16"/>
      <c r="H117" s="16"/>
      <c r="I117" s="16"/>
      <c r="J117" s="16"/>
      <c r="K117" s="16"/>
      <c r="L117" s="16"/>
      <c r="M117" s="16"/>
      <c r="N117" s="16"/>
    </row>
    <row r="119" customFormat="false" ht="15" hidden="false" customHeight="false" outlineLevel="0" collapsed="false">
      <c r="A119" s="4" t="s">
        <v>439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customFormat="false" ht="20.85" hidden="false" customHeight="false" outlineLevel="0" collapsed="false">
      <c r="A120" s="5" t="n">
        <v>99</v>
      </c>
      <c r="B120" s="6" t="s">
        <v>440</v>
      </c>
      <c r="C120" s="7" t="n">
        <v>16150</v>
      </c>
      <c r="D120" s="8" t="n">
        <v>1</v>
      </c>
      <c r="E120" s="6" t="s">
        <v>441</v>
      </c>
      <c r="F120" s="9" t="n">
        <f aca="false">C120*D120</f>
        <v>16150</v>
      </c>
      <c r="G120" s="10" t="s">
        <v>442</v>
      </c>
      <c r="H120" s="11" t="s">
        <v>85</v>
      </c>
      <c r="I120" s="8" t="s">
        <v>22</v>
      </c>
      <c r="J120" s="5" t="s">
        <v>443</v>
      </c>
      <c r="K120" s="5" t="s">
        <v>444</v>
      </c>
      <c r="L120" s="6" t="s">
        <v>445</v>
      </c>
      <c r="M120" s="6"/>
      <c r="N120" s="11" t="s">
        <v>26</v>
      </c>
    </row>
    <row r="121" customFormat="false" ht="15" hidden="false" customHeight="false" outlineLevel="0" collapsed="false">
      <c r="A121" s="5" t="n">
        <v>100</v>
      </c>
      <c r="B121" s="6" t="s">
        <v>446</v>
      </c>
      <c r="C121" s="7" t="n">
        <v>12750</v>
      </c>
      <c r="D121" s="8" t="n">
        <v>1</v>
      </c>
      <c r="E121" s="6" t="s">
        <v>447</v>
      </c>
      <c r="F121" s="9" t="n">
        <f aca="false">C121*D121</f>
        <v>12750</v>
      </c>
      <c r="G121" s="10" t="s">
        <v>442</v>
      </c>
      <c r="H121" s="11" t="s">
        <v>85</v>
      </c>
      <c r="I121" s="8" t="s">
        <v>22</v>
      </c>
      <c r="J121" s="5" t="s">
        <v>443</v>
      </c>
      <c r="K121" s="5" t="s">
        <v>444</v>
      </c>
      <c r="L121" s="6" t="s">
        <v>445</v>
      </c>
      <c r="M121" s="6"/>
      <c r="N121" s="11" t="s">
        <v>26</v>
      </c>
    </row>
    <row r="122" customFormat="false" ht="20.85" hidden="false" customHeight="false" outlineLevel="0" collapsed="false">
      <c r="A122" s="5" t="n">
        <v>101</v>
      </c>
      <c r="B122" s="6" t="s">
        <v>448</v>
      </c>
      <c r="C122" s="7" t="n">
        <v>16150</v>
      </c>
      <c r="D122" s="8" t="n">
        <v>5</v>
      </c>
      <c r="E122" s="6" t="s">
        <v>449</v>
      </c>
      <c r="F122" s="9" t="n">
        <f aca="false">C122*D122</f>
        <v>80750</v>
      </c>
      <c r="G122" s="10" t="s">
        <v>442</v>
      </c>
      <c r="H122" s="11" t="s">
        <v>85</v>
      </c>
      <c r="I122" s="8" t="s">
        <v>22</v>
      </c>
      <c r="J122" s="5" t="s">
        <v>443</v>
      </c>
      <c r="K122" s="5" t="s">
        <v>444</v>
      </c>
      <c r="L122" s="6" t="s">
        <v>450</v>
      </c>
      <c r="M122" s="6" t="s">
        <v>451</v>
      </c>
      <c r="N122" s="11" t="s">
        <v>26</v>
      </c>
    </row>
    <row r="123" customFormat="false" ht="59.7" hidden="false" customHeight="false" outlineLevel="0" collapsed="false">
      <c r="A123" s="5" t="n">
        <v>102</v>
      </c>
      <c r="B123" s="6" t="s">
        <v>452</v>
      </c>
      <c r="C123" s="7" t="n">
        <v>16150</v>
      </c>
      <c r="D123" s="8" t="n">
        <v>1</v>
      </c>
      <c r="E123" s="6" t="s">
        <v>453</v>
      </c>
      <c r="F123" s="9" t="n">
        <f aca="false">C123*D123</f>
        <v>16150</v>
      </c>
      <c r="G123" s="10" t="s">
        <v>442</v>
      </c>
      <c r="H123" s="11" t="s">
        <v>85</v>
      </c>
      <c r="I123" s="8" t="s">
        <v>22</v>
      </c>
      <c r="J123" s="5" t="s">
        <v>443</v>
      </c>
      <c r="K123" s="5" t="s">
        <v>454</v>
      </c>
      <c r="L123" s="6" t="s">
        <v>455</v>
      </c>
      <c r="M123" s="6" t="s">
        <v>37</v>
      </c>
      <c r="N123" s="11" t="s">
        <v>26</v>
      </c>
    </row>
    <row r="124" customFormat="false" ht="15" hidden="false" customHeight="false" outlineLevel="0" collapsed="false">
      <c r="A124" s="12" t="n">
        <v>103</v>
      </c>
      <c r="B124" s="12" t="s">
        <v>456</v>
      </c>
      <c r="C124" s="13" t="n">
        <f aca="false">IF(SUMIFS(F120:F123,I120:I123,"O")&lt;70000,3000,0)</f>
        <v>0</v>
      </c>
      <c r="D124" s="14" t="n">
        <v>1</v>
      </c>
      <c r="E124" s="12" t="s">
        <v>100</v>
      </c>
      <c r="F124" s="15" t="n">
        <f aca="false">C124*D124</f>
        <v>0</v>
      </c>
      <c r="G124" s="12"/>
      <c r="H124" s="12" t="s">
        <v>85</v>
      </c>
      <c r="I124" s="14" t="s">
        <v>22</v>
      </c>
      <c r="J124" s="12"/>
      <c r="K124" s="12"/>
      <c r="L124" s="12"/>
      <c r="M124" s="12"/>
      <c r="N124" s="12"/>
    </row>
    <row r="125" customFormat="false" ht="15" hidden="false" customHeight="false" outlineLevel="0" collapsed="false">
      <c r="A125" s="16"/>
      <c r="B125" s="17" t="s">
        <v>457</v>
      </c>
      <c r="C125" s="16"/>
      <c r="D125" s="16"/>
      <c r="E125" s="16"/>
      <c r="F125" s="18" t="n">
        <f aca="false">SUMIFS(F120:F124,I120:I124,"O")</f>
        <v>125800</v>
      </c>
      <c r="G125" s="16"/>
      <c r="H125" s="16"/>
      <c r="I125" s="16"/>
      <c r="J125" s="16"/>
      <c r="K125" s="16"/>
      <c r="L125" s="16"/>
      <c r="M125" s="16"/>
      <c r="N125" s="16"/>
    </row>
    <row r="127" customFormat="false" ht="15" hidden="false" customHeight="false" outlineLevel="0" collapsed="false">
      <c r="A127" s="4" t="s">
        <v>458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customFormat="false" ht="20.85" hidden="false" customHeight="false" outlineLevel="0" collapsed="false">
      <c r="A128" s="5" t="n">
        <v>104</v>
      </c>
      <c r="B128" s="6" t="s">
        <v>459</v>
      </c>
      <c r="C128" s="7" t="n">
        <v>15490</v>
      </c>
      <c r="D128" s="8" t="n">
        <v>1</v>
      </c>
      <c r="E128" s="6" t="s">
        <v>460</v>
      </c>
      <c r="F128" s="9" t="n">
        <f aca="false">C128*D128</f>
        <v>15490</v>
      </c>
      <c r="G128" s="10" t="s">
        <v>461</v>
      </c>
      <c r="H128" s="11" t="s">
        <v>21</v>
      </c>
      <c r="I128" s="8" t="s">
        <v>22</v>
      </c>
      <c r="J128" s="5" t="s">
        <v>462</v>
      </c>
      <c r="K128" s="5" t="s">
        <v>463</v>
      </c>
      <c r="L128" s="6" t="s">
        <v>464</v>
      </c>
      <c r="M128" s="6" t="s">
        <v>25</v>
      </c>
      <c r="N128" s="11" t="s">
        <v>26</v>
      </c>
    </row>
    <row r="129" customFormat="false" ht="147" hidden="false" customHeight="false" outlineLevel="0" collapsed="false">
      <c r="A129" s="5" t="n">
        <v>105</v>
      </c>
      <c r="B129" s="6" t="s">
        <v>465</v>
      </c>
      <c r="C129" s="7" t="n">
        <v>30700</v>
      </c>
      <c r="D129" s="8" t="n">
        <v>1</v>
      </c>
      <c r="E129" s="6" t="s">
        <v>466</v>
      </c>
      <c r="F129" s="9" t="n">
        <f aca="false">C129*D129</f>
        <v>30700</v>
      </c>
      <c r="G129" s="10" t="s">
        <v>467</v>
      </c>
      <c r="H129" s="11" t="s">
        <v>21</v>
      </c>
      <c r="I129" s="8" t="s">
        <v>22</v>
      </c>
      <c r="J129" s="5" t="s">
        <v>468</v>
      </c>
      <c r="K129" s="5" t="s">
        <v>469</v>
      </c>
      <c r="L129" s="6" t="s">
        <v>470</v>
      </c>
      <c r="M129" s="6" t="s">
        <v>471</v>
      </c>
      <c r="N129" s="11" t="s">
        <v>26</v>
      </c>
    </row>
    <row r="130" customFormat="false" ht="40.25" hidden="false" customHeight="false" outlineLevel="0" collapsed="false">
      <c r="A130" s="5" t="n">
        <v>106</v>
      </c>
      <c r="B130" s="6" t="s">
        <v>472</v>
      </c>
      <c r="C130" s="7" t="n">
        <v>19800</v>
      </c>
      <c r="D130" s="8" t="n">
        <v>1</v>
      </c>
      <c r="E130" s="6" t="s">
        <v>473</v>
      </c>
      <c r="F130" s="9" t="n">
        <f aca="false">C130*D130</f>
        <v>19800</v>
      </c>
      <c r="G130" s="10" t="s">
        <v>474</v>
      </c>
      <c r="H130" s="11" t="s">
        <v>21</v>
      </c>
      <c r="I130" s="8" t="s">
        <v>22</v>
      </c>
      <c r="J130" s="5" t="s">
        <v>462</v>
      </c>
      <c r="K130" s="5" t="s">
        <v>475</v>
      </c>
      <c r="L130" s="6" t="s">
        <v>476</v>
      </c>
      <c r="M130" s="6" t="s">
        <v>32</v>
      </c>
      <c r="N130" s="11" t="s">
        <v>26</v>
      </c>
    </row>
    <row r="131" customFormat="false" ht="15" hidden="false" customHeight="false" outlineLevel="0" collapsed="false">
      <c r="A131" s="12" t="n">
        <v>107</v>
      </c>
      <c r="B131" s="12" t="s">
        <v>477</v>
      </c>
      <c r="C131" s="13" t="n">
        <v>3000</v>
      </c>
      <c r="D131" s="14" t="n">
        <v>1</v>
      </c>
      <c r="E131" s="12" t="s">
        <v>100</v>
      </c>
      <c r="F131" s="15" t="n">
        <f aca="false">C131*D131</f>
        <v>3000</v>
      </c>
      <c r="G131" s="12"/>
      <c r="H131" s="12" t="s">
        <v>21</v>
      </c>
      <c r="I131" s="14" t="s">
        <v>22</v>
      </c>
      <c r="J131" s="12"/>
      <c r="K131" s="12"/>
      <c r="L131" s="12"/>
      <c r="M131" s="12"/>
      <c r="N131" s="12"/>
    </row>
    <row r="132" customFormat="false" ht="15" hidden="false" customHeight="false" outlineLevel="0" collapsed="false">
      <c r="A132" s="16"/>
      <c r="B132" s="17" t="s">
        <v>478</v>
      </c>
      <c r="C132" s="16"/>
      <c r="D132" s="16"/>
      <c r="E132" s="16"/>
      <c r="F132" s="18" t="n">
        <f aca="false">SUMIFS(F128:F131,I128:I131,"O")</f>
        <v>68990</v>
      </c>
      <c r="G132" s="16"/>
      <c r="H132" s="16"/>
      <c r="I132" s="16"/>
      <c r="J132" s="16"/>
      <c r="K132" s="16"/>
      <c r="L132" s="16"/>
      <c r="M132" s="16"/>
      <c r="N132" s="16"/>
    </row>
    <row r="134" customFormat="false" ht="15" hidden="false" customHeight="false" outlineLevel="0" collapsed="false">
      <c r="A134" s="4" t="s">
        <v>479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customFormat="false" ht="69.4" hidden="false" customHeight="false" outlineLevel="0" collapsed="false">
      <c r="A135" s="5" t="n">
        <v>108</v>
      </c>
      <c r="B135" s="6" t="s">
        <v>480</v>
      </c>
      <c r="C135" s="7" t="n">
        <v>17680</v>
      </c>
      <c r="D135" s="8" t="n">
        <v>1</v>
      </c>
      <c r="E135" s="6" t="s">
        <v>481</v>
      </c>
      <c r="F135" s="9" t="n">
        <f aca="false">C135*D135</f>
        <v>17680</v>
      </c>
      <c r="G135" s="10" t="s">
        <v>482</v>
      </c>
      <c r="H135" s="11" t="s">
        <v>21</v>
      </c>
      <c r="I135" s="8" t="s">
        <v>22</v>
      </c>
      <c r="J135" s="5" t="s">
        <v>483</v>
      </c>
      <c r="K135" s="5" t="s">
        <v>484</v>
      </c>
      <c r="L135" s="6" t="s">
        <v>485</v>
      </c>
      <c r="M135" s="6" t="s">
        <v>37</v>
      </c>
      <c r="N135" s="11" t="s">
        <v>26</v>
      </c>
    </row>
    <row r="136" customFormat="false" ht="15" hidden="false" customHeight="false" outlineLevel="0" collapsed="false">
      <c r="A136" s="16"/>
      <c r="B136" s="17" t="s">
        <v>486</v>
      </c>
      <c r="C136" s="16"/>
      <c r="D136" s="16"/>
      <c r="E136" s="16"/>
      <c r="F136" s="18" t="n">
        <f aca="false">SUMIFS(F135,I135,"O")</f>
        <v>17680</v>
      </c>
      <c r="G136" s="16"/>
      <c r="H136" s="16"/>
      <c r="I136" s="16"/>
      <c r="J136" s="16"/>
      <c r="K136" s="16"/>
      <c r="L136" s="16"/>
      <c r="M136" s="16"/>
      <c r="N136" s="16"/>
    </row>
    <row r="138" customFormat="false" ht="15" hidden="false" customHeight="false" outlineLevel="0" collapsed="false">
      <c r="A138" s="4" t="s">
        <v>487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customFormat="false" ht="20.85" hidden="false" customHeight="false" outlineLevel="0" collapsed="false">
      <c r="A139" s="5" t="n">
        <v>109</v>
      </c>
      <c r="B139" s="6" t="s">
        <v>488</v>
      </c>
      <c r="C139" s="7" t="n">
        <v>80</v>
      </c>
      <c r="D139" s="8" t="n">
        <v>100</v>
      </c>
      <c r="E139" s="6" t="s">
        <v>489</v>
      </c>
      <c r="F139" s="9" t="n">
        <f aca="false">C139*D139</f>
        <v>8000</v>
      </c>
      <c r="G139" s="10" t="s">
        <v>490</v>
      </c>
      <c r="H139" s="11" t="s">
        <v>21</v>
      </c>
      <c r="I139" s="8" t="s">
        <v>22</v>
      </c>
      <c r="J139" s="5" t="s">
        <v>491</v>
      </c>
      <c r="K139" s="5" t="s">
        <v>492</v>
      </c>
      <c r="L139" s="6"/>
      <c r="M139" s="6" t="s">
        <v>25</v>
      </c>
      <c r="N139" s="11" t="s">
        <v>26</v>
      </c>
    </row>
    <row r="140" customFormat="false" ht="40.25" hidden="false" customHeight="false" outlineLevel="0" collapsed="false">
      <c r="A140" s="5" t="n">
        <v>110</v>
      </c>
      <c r="B140" s="6" t="s">
        <v>493</v>
      </c>
      <c r="C140" s="7" t="n">
        <v>160</v>
      </c>
      <c r="D140" s="8" t="n">
        <v>14</v>
      </c>
      <c r="E140" s="6" t="s">
        <v>494</v>
      </c>
      <c r="F140" s="9" t="n">
        <f aca="false">C140*D140</f>
        <v>2240</v>
      </c>
      <c r="G140" s="10" t="s">
        <v>495</v>
      </c>
      <c r="H140" s="11" t="s">
        <v>21</v>
      </c>
      <c r="I140" s="8" t="s">
        <v>22</v>
      </c>
      <c r="J140" s="5" t="s">
        <v>491</v>
      </c>
      <c r="K140" s="5" t="s">
        <v>496</v>
      </c>
      <c r="L140" s="6" t="s">
        <v>497</v>
      </c>
      <c r="M140" s="6" t="s">
        <v>37</v>
      </c>
      <c r="N140" s="11" t="s">
        <v>26</v>
      </c>
    </row>
    <row r="141" customFormat="false" ht="15" hidden="false" customHeight="false" outlineLevel="0" collapsed="false">
      <c r="A141" s="12" t="n">
        <v>111</v>
      </c>
      <c r="B141" s="12" t="s">
        <v>498</v>
      </c>
      <c r="C141" s="13" t="n">
        <v>2500</v>
      </c>
      <c r="D141" s="14" t="n">
        <v>1</v>
      </c>
      <c r="E141" s="12" t="s">
        <v>100</v>
      </c>
      <c r="F141" s="15" t="n">
        <f aca="false">C141*D141</f>
        <v>2500</v>
      </c>
      <c r="G141" s="12"/>
      <c r="H141" s="12" t="s">
        <v>21</v>
      </c>
      <c r="I141" s="14" t="s">
        <v>22</v>
      </c>
      <c r="J141" s="12"/>
      <c r="K141" s="12"/>
      <c r="L141" s="12"/>
      <c r="M141" s="12"/>
      <c r="N141" s="12"/>
    </row>
    <row r="142" customFormat="false" ht="15" hidden="false" customHeight="false" outlineLevel="0" collapsed="false">
      <c r="A142" s="16"/>
      <c r="B142" s="17" t="s">
        <v>499</v>
      </c>
      <c r="C142" s="16"/>
      <c r="D142" s="16"/>
      <c r="E142" s="16"/>
      <c r="F142" s="18" t="n">
        <f aca="false">SUMIFS(F139:F141,I139:I141,"O")</f>
        <v>12740</v>
      </c>
      <c r="G142" s="16"/>
      <c r="H142" s="16"/>
      <c r="I142" s="16"/>
      <c r="J142" s="16"/>
      <c r="K142" s="16"/>
      <c r="L142" s="16"/>
      <c r="M142" s="16"/>
      <c r="N142" s="16"/>
    </row>
    <row r="144" customFormat="false" ht="15" hidden="false" customHeight="false" outlineLevel="0" collapsed="false">
      <c r="A144" s="4" t="s">
        <v>500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customFormat="false" ht="30.55" hidden="false" customHeight="false" outlineLevel="0" collapsed="false">
      <c r="A145" s="5" t="n">
        <v>112</v>
      </c>
      <c r="B145" s="6" t="s">
        <v>501</v>
      </c>
      <c r="C145" s="7" t="n">
        <v>3000</v>
      </c>
      <c r="D145" s="8" t="n">
        <v>2</v>
      </c>
      <c r="E145" s="6" t="s">
        <v>502</v>
      </c>
      <c r="F145" s="9" t="n">
        <f aca="false">C145*D145</f>
        <v>6000</v>
      </c>
      <c r="G145" s="10" t="s">
        <v>503</v>
      </c>
      <c r="H145" s="11" t="s">
        <v>21</v>
      </c>
      <c r="I145" s="8" t="s">
        <v>22</v>
      </c>
      <c r="J145" s="5" t="s">
        <v>504</v>
      </c>
      <c r="K145" s="5" t="s">
        <v>505</v>
      </c>
      <c r="L145" s="6"/>
      <c r="M145" s="6" t="s">
        <v>76</v>
      </c>
      <c r="N145" s="11" t="s">
        <v>26</v>
      </c>
    </row>
    <row r="146" customFormat="false" ht="40.25" hidden="false" customHeight="false" outlineLevel="0" collapsed="false">
      <c r="A146" s="5" t="n">
        <v>113</v>
      </c>
      <c r="B146" s="6" t="s">
        <v>506</v>
      </c>
      <c r="C146" s="7" t="n">
        <v>4500</v>
      </c>
      <c r="D146" s="8" t="n">
        <v>1</v>
      </c>
      <c r="E146" s="6" t="s">
        <v>507</v>
      </c>
      <c r="F146" s="9" t="n">
        <f aca="false">C146*D146</f>
        <v>4500</v>
      </c>
      <c r="G146" s="10" t="s">
        <v>508</v>
      </c>
      <c r="H146" s="11" t="s">
        <v>21</v>
      </c>
      <c r="I146" s="8" t="s">
        <v>22</v>
      </c>
      <c r="J146" s="5" t="s">
        <v>504</v>
      </c>
      <c r="K146" s="5" t="s">
        <v>509</v>
      </c>
      <c r="L146" s="6" t="s">
        <v>510</v>
      </c>
      <c r="M146" s="6" t="s">
        <v>37</v>
      </c>
      <c r="N146" s="11" t="s">
        <v>26</v>
      </c>
    </row>
    <row r="147" customFormat="false" ht="15" hidden="false" customHeight="false" outlineLevel="0" collapsed="false">
      <c r="A147" s="12" t="n">
        <v>114</v>
      </c>
      <c r="B147" s="12" t="s">
        <v>511</v>
      </c>
      <c r="C147" s="13" t="n">
        <v>3500</v>
      </c>
      <c r="D147" s="14" t="n">
        <v>1</v>
      </c>
      <c r="E147" s="12" t="s">
        <v>100</v>
      </c>
      <c r="F147" s="15" t="n">
        <f aca="false">C147*D147</f>
        <v>3500</v>
      </c>
      <c r="G147" s="12"/>
      <c r="H147" s="12" t="s">
        <v>21</v>
      </c>
      <c r="I147" s="14" t="s">
        <v>22</v>
      </c>
      <c r="J147" s="12"/>
      <c r="K147" s="12"/>
      <c r="L147" s="12"/>
      <c r="M147" s="12"/>
      <c r="N147" s="12"/>
    </row>
    <row r="148" customFormat="false" ht="15" hidden="false" customHeight="false" outlineLevel="0" collapsed="false">
      <c r="A148" s="16"/>
      <c r="B148" s="17" t="s">
        <v>512</v>
      </c>
      <c r="C148" s="16"/>
      <c r="D148" s="16"/>
      <c r="E148" s="16"/>
      <c r="F148" s="18" t="n">
        <f aca="false">SUMIFS(F145:F147,I145:I147,"O")</f>
        <v>14000</v>
      </c>
      <c r="G148" s="16"/>
      <c r="H148" s="16"/>
      <c r="I148" s="16"/>
      <c r="J148" s="16"/>
      <c r="K148" s="16"/>
      <c r="L148" s="16"/>
      <c r="M148" s="16"/>
      <c r="N148" s="16"/>
    </row>
    <row r="150" customFormat="false" ht="15" hidden="false" customHeight="false" outlineLevel="0" collapsed="false">
      <c r="A150" s="4" t="s">
        <v>513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customFormat="false" ht="20.85" hidden="false" customHeight="false" outlineLevel="0" collapsed="false">
      <c r="A151" s="5" t="n">
        <v>115</v>
      </c>
      <c r="B151" s="6" t="s">
        <v>514</v>
      </c>
      <c r="C151" s="7" t="n">
        <v>5500</v>
      </c>
      <c r="D151" s="8" t="n">
        <v>1</v>
      </c>
      <c r="E151" s="6" t="s">
        <v>515</v>
      </c>
      <c r="F151" s="9" t="n">
        <f aca="false">C151*D151</f>
        <v>5500</v>
      </c>
      <c r="G151" s="10" t="s">
        <v>516</v>
      </c>
      <c r="H151" s="11" t="s">
        <v>21</v>
      </c>
      <c r="I151" s="8" t="s">
        <v>22</v>
      </c>
      <c r="J151" s="5" t="s">
        <v>517</v>
      </c>
      <c r="K151" s="5" t="s">
        <v>518</v>
      </c>
      <c r="L151" s="6"/>
      <c r="M151" s="6" t="s">
        <v>25</v>
      </c>
      <c r="N151" s="11" t="s">
        <v>26</v>
      </c>
    </row>
    <row r="152" customFormat="false" ht="79.1" hidden="false" customHeight="false" outlineLevel="0" collapsed="false">
      <c r="A152" s="5" t="n">
        <v>116</v>
      </c>
      <c r="B152" s="6" t="s">
        <v>519</v>
      </c>
      <c r="C152" s="7" t="n">
        <v>13800</v>
      </c>
      <c r="D152" s="8" t="n">
        <v>1</v>
      </c>
      <c r="E152" s="6" t="s">
        <v>520</v>
      </c>
      <c r="F152" s="9" t="n">
        <f aca="false">C152*D152</f>
        <v>13800</v>
      </c>
      <c r="G152" s="10" t="s">
        <v>521</v>
      </c>
      <c r="H152" s="11" t="s">
        <v>21</v>
      </c>
      <c r="I152" s="8" t="s">
        <v>22</v>
      </c>
      <c r="J152" s="5" t="s">
        <v>517</v>
      </c>
      <c r="K152" s="5" t="s">
        <v>522</v>
      </c>
      <c r="L152" s="6" t="s">
        <v>523</v>
      </c>
      <c r="M152" s="6" t="s">
        <v>252</v>
      </c>
      <c r="N152" s="11" t="s">
        <v>26</v>
      </c>
    </row>
    <row r="153" customFormat="false" ht="69.4" hidden="false" customHeight="false" outlineLevel="0" collapsed="false">
      <c r="A153" s="5" t="n">
        <v>117</v>
      </c>
      <c r="B153" s="6" t="s">
        <v>524</v>
      </c>
      <c r="C153" s="7" t="n">
        <v>6900</v>
      </c>
      <c r="D153" s="8" t="n">
        <v>1</v>
      </c>
      <c r="E153" s="6" t="s">
        <v>525</v>
      </c>
      <c r="F153" s="9" t="n">
        <f aca="false">C153*D153</f>
        <v>6900</v>
      </c>
      <c r="G153" s="10" t="s">
        <v>526</v>
      </c>
      <c r="H153" s="11" t="s">
        <v>21</v>
      </c>
      <c r="I153" s="8" t="s">
        <v>22</v>
      </c>
      <c r="J153" s="5" t="s">
        <v>517</v>
      </c>
      <c r="K153" s="5" t="s">
        <v>522</v>
      </c>
      <c r="L153" s="6" t="s">
        <v>527</v>
      </c>
      <c r="M153" s="6" t="s">
        <v>252</v>
      </c>
      <c r="N153" s="11" t="s">
        <v>26</v>
      </c>
    </row>
    <row r="154" customFormat="false" ht="15" hidden="false" customHeight="false" outlineLevel="0" collapsed="false">
      <c r="A154" s="12" t="n">
        <v>118</v>
      </c>
      <c r="B154" s="12" t="s">
        <v>528</v>
      </c>
      <c r="C154" s="13" t="n">
        <v>3000</v>
      </c>
      <c r="D154" s="14" t="n">
        <v>1</v>
      </c>
      <c r="E154" s="12" t="s">
        <v>100</v>
      </c>
      <c r="F154" s="15" t="n">
        <f aca="false">C154*D154</f>
        <v>3000</v>
      </c>
      <c r="G154" s="12"/>
      <c r="H154" s="12" t="s">
        <v>21</v>
      </c>
      <c r="I154" s="14" t="s">
        <v>22</v>
      </c>
      <c r="J154" s="12"/>
      <c r="K154" s="12"/>
      <c r="L154" s="12"/>
      <c r="M154" s="12"/>
      <c r="N154" s="12"/>
    </row>
    <row r="155" customFormat="false" ht="15" hidden="false" customHeight="false" outlineLevel="0" collapsed="false">
      <c r="A155" s="16"/>
      <c r="B155" s="17" t="s">
        <v>529</v>
      </c>
      <c r="C155" s="16"/>
      <c r="D155" s="16"/>
      <c r="E155" s="16"/>
      <c r="F155" s="18" t="n">
        <f aca="false">SUMIFS(F151:F154,I151:I154,"O")</f>
        <v>29200</v>
      </c>
      <c r="G155" s="16"/>
      <c r="H155" s="16"/>
      <c r="I155" s="16"/>
      <c r="J155" s="16"/>
      <c r="K155" s="16"/>
      <c r="L155" s="16"/>
      <c r="M155" s="16"/>
      <c r="N155" s="16"/>
    </row>
    <row r="157" customFormat="false" ht="15" hidden="false" customHeight="false" outlineLevel="0" collapsed="false">
      <c r="A157" s="4" t="s">
        <v>530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customFormat="false" ht="20.85" hidden="false" customHeight="false" outlineLevel="0" collapsed="false">
      <c r="A158" s="5" t="n">
        <v>119</v>
      </c>
      <c r="B158" s="6" t="s">
        <v>531</v>
      </c>
      <c r="C158" s="7" t="n">
        <v>8500</v>
      </c>
      <c r="D158" s="8" t="n">
        <v>1</v>
      </c>
      <c r="E158" s="6" t="s">
        <v>532</v>
      </c>
      <c r="F158" s="9" t="n">
        <f aca="false">C158*D158</f>
        <v>8500</v>
      </c>
      <c r="G158" s="10" t="s">
        <v>533</v>
      </c>
      <c r="H158" s="11" t="s">
        <v>21</v>
      </c>
      <c r="I158" s="8" t="s">
        <v>22</v>
      </c>
      <c r="J158" s="5" t="s">
        <v>534</v>
      </c>
      <c r="K158" s="5" t="s">
        <v>535</v>
      </c>
      <c r="L158" s="6"/>
      <c r="M158" s="6" t="s">
        <v>25</v>
      </c>
      <c r="N158" s="11" t="s">
        <v>26</v>
      </c>
    </row>
    <row r="159" customFormat="false" ht="15" hidden="false" customHeight="false" outlineLevel="0" collapsed="false">
      <c r="A159" s="12" t="n">
        <v>120</v>
      </c>
      <c r="B159" s="12" t="s">
        <v>536</v>
      </c>
      <c r="C159" s="13" t="n">
        <v>3000</v>
      </c>
      <c r="D159" s="14" t="n">
        <v>1</v>
      </c>
      <c r="E159" s="12" t="s">
        <v>100</v>
      </c>
      <c r="F159" s="15" t="n">
        <f aca="false">C159*D159</f>
        <v>3000</v>
      </c>
      <c r="G159" s="12"/>
      <c r="H159" s="12" t="s">
        <v>21</v>
      </c>
      <c r="I159" s="14" t="s">
        <v>22</v>
      </c>
      <c r="J159" s="12"/>
      <c r="K159" s="12"/>
      <c r="L159" s="12"/>
      <c r="M159" s="12"/>
      <c r="N159" s="12"/>
    </row>
    <row r="160" customFormat="false" ht="15" hidden="false" customHeight="false" outlineLevel="0" collapsed="false">
      <c r="A160" s="16"/>
      <c r="B160" s="17" t="s">
        <v>537</v>
      </c>
      <c r="C160" s="16"/>
      <c r="D160" s="16"/>
      <c r="E160" s="16"/>
      <c r="F160" s="18" t="n">
        <f aca="false">SUMIFS(F158:F159,I158:I159,"O")</f>
        <v>11500</v>
      </c>
      <c r="G160" s="16"/>
      <c r="H160" s="16"/>
      <c r="I160" s="16"/>
      <c r="J160" s="16"/>
      <c r="K160" s="16"/>
      <c r="L160" s="16"/>
      <c r="M160" s="16"/>
      <c r="N160" s="16"/>
    </row>
    <row r="162" customFormat="false" ht="15" hidden="false" customHeight="false" outlineLevel="0" collapsed="false">
      <c r="A162" s="4" t="s">
        <v>538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customFormat="false" ht="20.85" hidden="false" customHeight="false" outlineLevel="0" collapsed="false">
      <c r="A163" s="5" t="n">
        <v>121</v>
      </c>
      <c r="B163" s="6" t="s">
        <v>539</v>
      </c>
      <c r="C163" s="7" t="n">
        <v>14900</v>
      </c>
      <c r="D163" s="8" t="n">
        <v>1</v>
      </c>
      <c r="E163" s="6" t="s">
        <v>540</v>
      </c>
      <c r="F163" s="9" t="n">
        <f aca="false">C163*D163</f>
        <v>14900</v>
      </c>
      <c r="G163" s="10" t="s">
        <v>541</v>
      </c>
      <c r="H163" s="11" t="s">
        <v>21</v>
      </c>
      <c r="I163" s="8" t="s">
        <v>22</v>
      </c>
      <c r="J163" s="5" t="s">
        <v>542</v>
      </c>
      <c r="K163" s="5" t="s">
        <v>543</v>
      </c>
      <c r="L163" s="6"/>
      <c r="M163" s="6" t="s">
        <v>25</v>
      </c>
      <c r="N163" s="11" t="s">
        <v>26</v>
      </c>
    </row>
    <row r="164" customFormat="false" ht="15" hidden="false" customHeight="false" outlineLevel="0" collapsed="false">
      <c r="A164" s="16"/>
      <c r="B164" s="17" t="s">
        <v>544</v>
      </c>
      <c r="C164" s="16"/>
      <c r="D164" s="16"/>
      <c r="E164" s="16"/>
      <c r="F164" s="18" t="n">
        <f aca="false">SUMIFS(F163,I163,"O")</f>
        <v>14900</v>
      </c>
      <c r="G164" s="16"/>
      <c r="H164" s="16"/>
      <c r="I164" s="16"/>
      <c r="J164" s="16"/>
      <c r="K164" s="16"/>
      <c r="L164" s="16"/>
      <c r="M164" s="16"/>
      <c r="N164" s="16"/>
    </row>
    <row r="166" customFormat="false" ht="15" hidden="false" customHeight="false" outlineLevel="0" collapsed="false">
      <c r="A166" s="4" t="s">
        <v>545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customFormat="false" ht="30.55" hidden="false" customHeight="false" outlineLevel="0" collapsed="false">
      <c r="A167" s="5" t="n">
        <v>122</v>
      </c>
      <c r="B167" s="6" t="s">
        <v>546</v>
      </c>
      <c r="C167" s="7" t="n">
        <v>35200</v>
      </c>
      <c r="D167" s="8" t="n">
        <v>1</v>
      </c>
      <c r="E167" s="6" t="s">
        <v>547</v>
      </c>
      <c r="F167" s="9" t="n">
        <f aca="false">C167*D167</f>
        <v>35200</v>
      </c>
      <c r="G167" s="10" t="s">
        <v>548</v>
      </c>
      <c r="H167" s="11" t="s">
        <v>233</v>
      </c>
      <c r="I167" s="8" t="s">
        <v>22</v>
      </c>
      <c r="J167" s="5" t="s">
        <v>549</v>
      </c>
      <c r="K167" s="5" t="s">
        <v>550</v>
      </c>
      <c r="L167" s="6" t="s">
        <v>551</v>
      </c>
      <c r="M167" s="6" t="s">
        <v>552</v>
      </c>
      <c r="N167" s="11" t="s">
        <v>26</v>
      </c>
    </row>
    <row r="168" customFormat="false" ht="15" hidden="false" customHeight="false" outlineLevel="0" collapsed="false">
      <c r="A168" s="5" t="n">
        <v>123</v>
      </c>
      <c r="B168" s="6" t="s">
        <v>553</v>
      </c>
      <c r="C168" s="7" t="n">
        <v>2690</v>
      </c>
      <c r="D168" s="8" t="n">
        <v>1</v>
      </c>
      <c r="E168" s="6" t="s">
        <v>554</v>
      </c>
      <c r="F168" s="9" t="n">
        <f aca="false">C168*D168</f>
        <v>2690</v>
      </c>
      <c r="G168" s="10" t="s">
        <v>555</v>
      </c>
      <c r="H168" s="11" t="s">
        <v>233</v>
      </c>
      <c r="I168" s="8" t="s">
        <v>22</v>
      </c>
      <c r="J168" s="5" t="s">
        <v>549</v>
      </c>
      <c r="K168" s="5" t="s">
        <v>556</v>
      </c>
      <c r="L168" s="6"/>
      <c r="M168" s="6" t="s">
        <v>25</v>
      </c>
      <c r="N168" s="11" t="s">
        <v>26</v>
      </c>
    </row>
    <row r="169" customFormat="false" ht="20.85" hidden="false" customHeight="false" outlineLevel="0" collapsed="false">
      <c r="A169" s="5" t="n">
        <v>124</v>
      </c>
      <c r="B169" s="6" t="s">
        <v>557</v>
      </c>
      <c r="C169" s="7" t="n">
        <v>4720</v>
      </c>
      <c r="D169" s="8" t="n">
        <v>1</v>
      </c>
      <c r="E169" s="6" t="s">
        <v>558</v>
      </c>
      <c r="F169" s="9" t="n">
        <f aca="false">C169*D169</f>
        <v>4720</v>
      </c>
      <c r="G169" s="10" t="s">
        <v>559</v>
      </c>
      <c r="H169" s="11" t="s">
        <v>233</v>
      </c>
      <c r="I169" s="8" t="s">
        <v>22</v>
      </c>
      <c r="J169" s="5" t="s">
        <v>549</v>
      </c>
      <c r="K169" s="5" t="s">
        <v>560</v>
      </c>
      <c r="L169" s="6"/>
      <c r="M169" s="6" t="s">
        <v>25</v>
      </c>
      <c r="N169" s="11" t="s">
        <v>26</v>
      </c>
    </row>
    <row r="170" customFormat="false" ht="15" hidden="false" customHeight="false" outlineLevel="0" collapsed="false">
      <c r="A170" s="12" t="n">
        <v>125</v>
      </c>
      <c r="B170" s="12" t="s">
        <v>561</v>
      </c>
      <c r="C170" s="13" t="n">
        <v>16200</v>
      </c>
      <c r="D170" s="14" t="n">
        <v>1</v>
      </c>
      <c r="E170" s="12" t="s">
        <v>100</v>
      </c>
      <c r="F170" s="15" t="n">
        <f aca="false">C170*D170</f>
        <v>16200</v>
      </c>
      <c r="G170" s="12"/>
      <c r="H170" s="12" t="s">
        <v>233</v>
      </c>
      <c r="I170" s="14" t="s">
        <v>22</v>
      </c>
      <c r="J170" s="12"/>
      <c r="K170" s="12"/>
      <c r="L170" s="12"/>
      <c r="M170" s="12"/>
      <c r="N170" s="12"/>
    </row>
    <row r="171" customFormat="false" ht="15" hidden="false" customHeight="false" outlineLevel="0" collapsed="false">
      <c r="A171" s="16"/>
      <c r="B171" s="17" t="s">
        <v>562</v>
      </c>
      <c r="C171" s="16"/>
      <c r="D171" s="16"/>
      <c r="E171" s="16"/>
      <c r="F171" s="18" t="n">
        <f aca="false">SUMIFS(F167:F170,I167:I170,"O")</f>
        <v>58810</v>
      </c>
      <c r="G171" s="16"/>
      <c r="H171" s="16"/>
      <c r="I171" s="16"/>
      <c r="J171" s="16"/>
      <c r="K171" s="16"/>
      <c r="L171" s="16"/>
      <c r="M171" s="16"/>
      <c r="N171" s="16"/>
    </row>
    <row r="173" customFormat="false" ht="15" hidden="false" customHeight="false" outlineLevel="0" collapsed="false">
      <c r="A173" s="4" t="s">
        <v>563</v>
      </c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customFormat="false" ht="30.55" hidden="false" customHeight="false" outlineLevel="0" collapsed="false">
      <c r="A174" s="5" t="n">
        <v>126</v>
      </c>
      <c r="B174" s="6" t="s">
        <v>564</v>
      </c>
      <c r="C174" s="7" t="n">
        <v>0</v>
      </c>
      <c r="D174" s="8" t="n">
        <v>1</v>
      </c>
      <c r="E174" s="6" t="s">
        <v>565</v>
      </c>
      <c r="F174" s="9" t="n">
        <f aca="false">C174*D174</f>
        <v>0</v>
      </c>
      <c r="G174" s="10" t="s">
        <v>566</v>
      </c>
      <c r="H174" s="11" t="s">
        <v>21</v>
      </c>
      <c r="I174" s="8" t="s">
        <v>22</v>
      </c>
      <c r="J174" s="5" t="s">
        <v>567</v>
      </c>
      <c r="K174" s="5" t="s">
        <v>568</v>
      </c>
      <c r="L174" s="6" t="s">
        <v>569</v>
      </c>
      <c r="M174" s="6" t="s">
        <v>25</v>
      </c>
      <c r="N174" s="11" t="s">
        <v>26</v>
      </c>
    </row>
    <row r="175" customFormat="false" ht="15" hidden="false" customHeight="false" outlineLevel="0" collapsed="false">
      <c r="A175" s="5" t="n">
        <v>127</v>
      </c>
      <c r="B175" s="6" t="s">
        <v>570</v>
      </c>
      <c r="C175" s="7" t="n">
        <v>0</v>
      </c>
      <c r="D175" s="8" t="n">
        <v>1</v>
      </c>
      <c r="E175" s="6" t="s">
        <v>571</v>
      </c>
      <c r="F175" s="9" t="n">
        <f aca="false">C175*D175</f>
        <v>0</v>
      </c>
      <c r="G175" s="10" t="s">
        <v>572</v>
      </c>
      <c r="H175" s="11" t="s">
        <v>21</v>
      </c>
      <c r="I175" s="8" t="s">
        <v>22</v>
      </c>
      <c r="J175" s="5" t="s">
        <v>573</v>
      </c>
      <c r="K175" s="5" t="s">
        <v>574</v>
      </c>
      <c r="L175" s="6" t="s">
        <v>569</v>
      </c>
      <c r="M175" s="6" t="s">
        <v>25</v>
      </c>
      <c r="N175" s="11" t="s">
        <v>26</v>
      </c>
    </row>
    <row r="176" customFormat="false" ht="15" hidden="false" customHeight="false" outlineLevel="0" collapsed="false">
      <c r="A176" s="16"/>
      <c r="B176" s="17" t="s">
        <v>575</v>
      </c>
      <c r="C176" s="16"/>
      <c r="D176" s="16"/>
      <c r="E176" s="16"/>
      <c r="F176" s="18" t="n">
        <f aca="false">SUMIFS(F174:F175,I174:I175,"O")</f>
        <v>0</v>
      </c>
      <c r="G176" s="16"/>
      <c r="H176" s="16"/>
      <c r="I176" s="16"/>
      <c r="J176" s="16"/>
      <c r="K176" s="16"/>
      <c r="L176" s="16"/>
      <c r="M176" s="16"/>
      <c r="N176" s="16"/>
    </row>
    <row r="178" customFormat="false" ht="15" hidden="false" customHeight="false" outlineLevel="0" collapsed="false">
      <c r="A178" s="4" t="s">
        <v>576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customFormat="false" ht="59.7" hidden="false" customHeight="false" outlineLevel="0" collapsed="false">
      <c r="A179" s="5" t="n">
        <v>128</v>
      </c>
      <c r="B179" s="6" t="s">
        <v>577</v>
      </c>
      <c r="C179" s="7" t="n">
        <v>6700</v>
      </c>
      <c r="D179" s="8" t="n">
        <v>1</v>
      </c>
      <c r="E179" s="6" t="s">
        <v>578</v>
      </c>
      <c r="F179" s="9" t="n">
        <f aca="false">C179*D179</f>
        <v>6700</v>
      </c>
      <c r="G179" s="10" t="s">
        <v>579</v>
      </c>
      <c r="H179" s="11" t="s">
        <v>21</v>
      </c>
      <c r="I179" s="8" t="s">
        <v>22</v>
      </c>
      <c r="J179" s="5" t="s">
        <v>580</v>
      </c>
      <c r="K179" s="5" t="s">
        <v>581</v>
      </c>
      <c r="L179" s="6" t="s">
        <v>582</v>
      </c>
      <c r="M179" s="6" t="s">
        <v>137</v>
      </c>
      <c r="N179" s="11" t="s">
        <v>26</v>
      </c>
    </row>
    <row r="180" customFormat="false" ht="69.4" hidden="false" customHeight="false" outlineLevel="0" collapsed="false">
      <c r="A180" s="5" t="n">
        <v>129</v>
      </c>
      <c r="B180" s="6" t="s">
        <v>583</v>
      </c>
      <c r="C180" s="7" t="n">
        <v>16600</v>
      </c>
      <c r="D180" s="8" t="n">
        <v>1</v>
      </c>
      <c r="E180" s="6" t="s">
        <v>584</v>
      </c>
      <c r="F180" s="9" t="n">
        <f aca="false">C180*D180</f>
        <v>16600</v>
      </c>
      <c r="G180" s="10" t="s">
        <v>585</v>
      </c>
      <c r="H180" s="11" t="s">
        <v>21</v>
      </c>
      <c r="I180" s="8" t="s">
        <v>22</v>
      </c>
      <c r="J180" s="5" t="s">
        <v>580</v>
      </c>
      <c r="K180" s="5" t="s">
        <v>586</v>
      </c>
      <c r="L180" s="6" t="s">
        <v>587</v>
      </c>
      <c r="M180" s="6" t="s">
        <v>252</v>
      </c>
      <c r="N180" s="11" t="s">
        <v>26</v>
      </c>
    </row>
    <row r="181" customFormat="false" ht="15" hidden="false" customHeight="false" outlineLevel="0" collapsed="false">
      <c r="A181" s="12" t="n">
        <v>130</v>
      </c>
      <c r="B181" s="12" t="s">
        <v>588</v>
      </c>
      <c r="C181" s="13" t="n">
        <v>3300</v>
      </c>
      <c r="D181" s="14" t="n">
        <v>1</v>
      </c>
      <c r="E181" s="12" t="s">
        <v>100</v>
      </c>
      <c r="F181" s="15" t="n">
        <f aca="false">C181*D181</f>
        <v>3300</v>
      </c>
      <c r="G181" s="12"/>
      <c r="H181" s="12" t="s">
        <v>21</v>
      </c>
      <c r="I181" s="14" t="s">
        <v>22</v>
      </c>
      <c r="J181" s="12"/>
      <c r="K181" s="12"/>
      <c r="L181" s="12"/>
      <c r="M181" s="12"/>
      <c r="N181" s="12"/>
    </row>
    <row r="182" customFormat="false" ht="15" hidden="false" customHeight="false" outlineLevel="0" collapsed="false">
      <c r="A182" s="16"/>
      <c r="B182" s="17" t="s">
        <v>589</v>
      </c>
      <c r="C182" s="16"/>
      <c r="D182" s="16"/>
      <c r="E182" s="16"/>
      <c r="F182" s="18" t="n">
        <f aca="false">SUMIFS(F179:F181,I179:I181,"O")</f>
        <v>26600</v>
      </c>
      <c r="G182" s="16"/>
      <c r="H182" s="16"/>
      <c r="I182" s="16"/>
      <c r="J182" s="16"/>
      <c r="K182" s="16"/>
      <c r="L182" s="16"/>
      <c r="M182" s="16"/>
      <c r="N182" s="16"/>
    </row>
    <row r="184" customFormat="false" ht="15" hidden="false" customHeight="false" outlineLevel="0" collapsed="false">
      <c r="A184" s="4" t="s">
        <v>590</v>
      </c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customFormat="false" ht="127.6" hidden="false" customHeight="false" outlineLevel="0" collapsed="false">
      <c r="A185" s="5" t="n">
        <v>131</v>
      </c>
      <c r="B185" s="6" t="s">
        <v>591</v>
      </c>
      <c r="C185" s="7" t="n">
        <v>1749</v>
      </c>
      <c r="D185" s="8" t="n">
        <v>5</v>
      </c>
      <c r="E185" s="6" t="s">
        <v>592</v>
      </c>
      <c r="F185" s="9" t="n">
        <f aca="false">C185*D185</f>
        <v>8745</v>
      </c>
      <c r="G185" s="10" t="s">
        <v>593</v>
      </c>
      <c r="H185" s="11" t="s">
        <v>21</v>
      </c>
      <c r="I185" s="8" t="s">
        <v>22</v>
      </c>
      <c r="J185" s="5" t="s">
        <v>594</v>
      </c>
      <c r="K185" s="5" t="s">
        <v>595</v>
      </c>
      <c r="L185" s="6" t="s">
        <v>596</v>
      </c>
      <c r="M185" s="6" t="s">
        <v>597</v>
      </c>
      <c r="N185" s="11" t="s">
        <v>26</v>
      </c>
    </row>
    <row r="186" customFormat="false" ht="59.7" hidden="false" customHeight="false" outlineLevel="0" collapsed="false">
      <c r="A186" s="5" t="n">
        <v>132</v>
      </c>
      <c r="B186" s="6" t="s">
        <v>598</v>
      </c>
      <c r="C186" s="7" t="n">
        <v>2959</v>
      </c>
      <c r="D186" s="8" t="n">
        <v>1</v>
      </c>
      <c r="E186" s="6" t="s">
        <v>599</v>
      </c>
      <c r="F186" s="9" t="n">
        <f aca="false">C186*D186</f>
        <v>2959</v>
      </c>
      <c r="G186" s="10" t="s">
        <v>600</v>
      </c>
      <c r="H186" s="11" t="s">
        <v>21</v>
      </c>
      <c r="I186" s="8" t="s">
        <v>22</v>
      </c>
      <c r="J186" s="5" t="s">
        <v>594</v>
      </c>
      <c r="K186" s="5" t="s">
        <v>601</v>
      </c>
      <c r="L186" s="6" t="s">
        <v>602</v>
      </c>
      <c r="M186" s="6" t="s">
        <v>603</v>
      </c>
      <c r="N186" s="11" t="s">
        <v>26</v>
      </c>
    </row>
    <row r="187" customFormat="false" ht="69.4" hidden="false" customHeight="false" outlineLevel="0" collapsed="false">
      <c r="A187" s="5" t="n">
        <v>133</v>
      </c>
      <c r="B187" s="6" t="s">
        <v>604</v>
      </c>
      <c r="C187" s="7" t="n">
        <v>3949</v>
      </c>
      <c r="D187" s="8" t="n">
        <v>1</v>
      </c>
      <c r="E187" s="6" t="s">
        <v>605</v>
      </c>
      <c r="F187" s="9" t="n">
        <f aca="false">C187*D187</f>
        <v>3949</v>
      </c>
      <c r="G187" s="10" t="s">
        <v>606</v>
      </c>
      <c r="H187" s="11" t="s">
        <v>85</v>
      </c>
      <c r="I187" s="8" t="s">
        <v>22</v>
      </c>
      <c r="J187" s="5" t="s">
        <v>594</v>
      </c>
      <c r="K187" s="5" t="s">
        <v>607</v>
      </c>
      <c r="L187" s="6" t="s">
        <v>608</v>
      </c>
      <c r="M187" s="6" t="s">
        <v>609</v>
      </c>
      <c r="N187" s="11" t="s">
        <v>26</v>
      </c>
    </row>
    <row r="188" customFormat="false" ht="88.8" hidden="false" customHeight="false" outlineLevel="0" collapsed="false">
      <c r="A188" s="5" t="n">
        <v>134</v>
      </c>
      <c r="B188" s="6" t="s">
        <v>610</v>
      </c>
      <c r="C188" s="7" t="n">
        <v>3399</v>
      </c>
      <c r="D188" s="8" t="n">
        <v>1</v>
      </c>
      <c r="E188" s="6" t="s">
        <v>611</v>
      </c>
      <c r="F188" s="9" t="n">
        <f aca="false">C188*D188</f>
        <v>3399</v>
      </c>
      <c r="G188" s="10" t="s">
        <v>612</v>
      </c>
      <c r="H188" s="11" t="s">
        <v>21</v>
      </c>
      <c r="I188" s="8" t="s">
        <v>22</v>
      </c>
      <c r="J188" s="5" t="s">
        <v>594</v>
      </c>
      <c r="K188" s="5" t="s">
        <v>613</v>
      </c>
      <c r="L188" s="6" t="s">
        <v>614</v>
      </c>
      <c r="M188" s="6" t="s">
        <v>252</v>
      </c>
      <c r="N188" s="11" t="s">
        <v>26</v>
      </c>
    </row>
    <row r="189" customFormat="false" ht="79.1" hidden="false" customHeight="false" outlineLevel="0" collapsed="false">
      <c r="A189" s="5" t="n">
        <v>135</v>
      </c>
      <c r="B189" s="6" t="s">
        <v>615</v>
      </c>
      <c r="C189" s="7" t="n">
        <v>16489</v>
      </c>
      <c r="D189" s="8" t="n">
        <v>1</v>
      </c>
      <c r="E189" s="6" t="s">
        <v>616</v>
      </c>
      <c r="F189" s="9" t="n">
        <f aca="false">C189*D189</f>
        <v>16489</v>
      </c>
      <c r="G189" s="10" t="s">
        <v>617</v>
      </c>
      <c r="H189" s="11" t="s">
        <v>21</v>
      </c>
      <c r="I189" s="8" t="s">
        <v>22</v>
      </c>
      <c r="J189" s="5" t="s">
        <v>594</v>
      </c>
      <c r="K189" s="5" t="s">
        <v>613</v>
      </c>
      <c r="L189" s="6" t="s">
        <v>618</v>
      </c>
      <c r="M189" s="6" t="s">
        <v>252</v>
      </c>
      <c r="N189" s="11" t="s">
        <v>26</v>
      </c>
    </row>
    <row r="190" customFormat="false" ht="40.25" hidden="false" customHeight="false" outlineLevel="0" collapsed="false">
      <c r="A190" s="5" t="n">
        <v>136</v>
      </c>
      <c r="B190" s="6" t="s">
        <v>619</v>
      </c>
      <c r="C190" s="7" t="n">
        <v>2739</v>
      </c>
      <c r="D190" s="8" t="n">
        <v>1</v>
      </c>
      <c r="E190" s="6" t="s">
        <v>620</v>
      </c>
      <c r="F190" s="9" t="n">
        <f aca="false">C190*D190</f>
        <v>2739</v>
      </c>
      <c r="G190" s="10" t="s">
        <v>621</v>
      </c>
      <c r="H190" s="11" t="s">
        <v>85</v>
      </c>
      <c r="I190" s="8" t="s">
        <v>22</v>
      </c>
      <c r="J190" s="5" t="s">
        <v>594</v>
      </c>
      <c r="K190" s="5" t="s">
        <v>622</v>
      </c>
      <c r="L190" s="6" t="s">
        <v>623</v>
      </c>
      <c r="M190" s="6" t="s">
        <v>252</v>
      </c>
      <c r="N190" s="11" t="s">
        <v>26</v>
      </c>
    </row>
    <row r="191" customFormat="false" ht="59.7" hidden="false" customHeight="false" outlineLevel="0" collapsed="false">
      <c r="A191" s="5" t="n">
        <v>137</v>
      </c>
      <c r="B191" s="6" t="s">
        <v>624</v>
      </c>
      <c r="C191" s="7" t="n">
        <v>990</v>
      </c>
      <c r="D191" s="8" t="n">
        <v>1</v>
      </c>
      <c r="E191" s="6" t="s">
        <v>625</v>
      </c>
      <c r="F191" s="9" t="n">
        <f aca="false">C191*D191</f>
        <v>990</v>
      </c>
      <c r="G191" s="10" t="s">
        <v>626</v>
      </c>
      <c r="H191" s="11" t="s">
        <v>233</v>
      </c>
      <c r="I191" s="8" t="s">
        <v>22</v>
      </c>
      <c r="J191" s="5" t="s">
        <v>594</v>
      </c>
      <c r="K191" s="5" t="s">
        <v>627</v>
      </c>
      <c r="L191" s="6" t="s">
        <v>628</v>
      </c>
      <c r="M191" s="6" t="s">
        <v>252</v>
      </c>
      <c r="N191" s="11" t="s">
        <v>26</v>
      </c>
    </row>
    <row r="192" customFormat="false" ht="30.55" hidden="false" customHeight="false" outlineLevel="0" collapsed="false">
      <c r="A192" s="5" t="n">
        <v>138</v>
      </c>
      <c r="B192" s="6" t="s">
        <v>629</v>
      </c>
      <c r="C192" s="7" t="n">
        <v>21989</v>
      </c>
      <c r="D192" s="8" t="n">
        <v>1</v>
      </c>
      <c r="E192" s="6" t="s">
        <v>630</v>
      </c>
      <c r="F192" s="9" t="n">
        <f aca="false">C192*D192</f>
        <v>21989</v>
      </c>
      <c r="G192" s="10" t="s">
        <v>631</v>
      </c>
      <c r="H192" s="11" t="s">
        <v>233</v>
      </c>
      <c r="I192" s="8" t="s">
        <v>22</v>
      </c>
      <c r="J192" s="5" t="s">
        <v>594</v>
      </c>
      <c r="K192" s="5" t="s">
        <v>632</v>
      </c>
      <c r="L192" s="6" t="s">
        <v>633</v>
      </c>
      <c r="M192" s="6" t="s">
        <v>634</v>
      </c>
      <c r="N192" s="11" t="s">
        <v>26</v>
      </c>
    </row>
    <row r="193" customFormat="false" ht="30.55" hidden="false" customHeight="false" outlineLevel="0" collapsed="false">
      <c r="A193" s="5" t="n">
        <v>139</v>
      </c>
      <c r="B193" s="6" t="s">
        <v>635</v>
      </c>
      <c r="C193" s="7" t="n">
        <v>4389</v>
      </c>
      <c r="D193" s="8" t="n">
        <v>1</v>
      </c>
      <c r="E193" s="6" t="s">
        <v>636</v>
      </c>
      <c r="F193" s="9" t="n">
        <f aca="false">C193*D193</f>
        <v>4389</v>
      </c>
      <c r="G193" s="10" t="s">
        <v>637</v>
      </c>
      <c r="H193" s="11" t="s">
        <v>233</v>
      </c>
      <c r="I193" s="8" t="s">
        <v>638</v>
      </c>
      <c r="J193" s="5" t="s">
        <v>594</v>
      </c>
      <c r="K193" s="5" t="s">
        <v>639</v>
      </c>
      <c r="L193" s="6" t="s">
        <v>640</v>
      </c>
      <c r="M193" s="6" t="s">
        <v>641</v>
      </c>
      <c r="N193" s="11" t="s">
        <v>26</v>
      </c>
    </row>
    <row r="194" customFormat="false" ht="15" hidden="false" customHeight="false" outlineLevel="0" collapsed="false">
      <c r="A194" s="12" t="n">
        <v>140</v>
      </c>
      <c r="B194" s="12" t="s">
        <v>642</v>
      </c>
      <c r="C194" s="13" t="n">
        <f aca="false">IF(SUMIFS(F185:F193,I185:I193,"O")/1.1&lt;50000,3300,0)</f>
        <v>0</v>
      </c>
      <c r="D194" s="14" t="n">
        <v>1</v>
      </c>
      <c r="E194" s="12" t="s">
        <v>100</v>
      </c>
      <c r="F194" s="15" t="n">
        <f aca="false">C194*D194</f>
        <v>0</v>
      </c>
      <c r="G194" s="12"/>
      <c r="H194" s="12" t="s">
        <v>21</v>
      </c>
      <c r="I194" s="14" t="s">
        <v>22</v>
      </c>
      <c r="J194" s="12"/>
      <c r="K194" s="12"/>
      <c r="L194" s="12"/>
      <c r="M194" s="12"/>
      <c r="N194" s="12"/>
    </row>
    <row r="195" customFormat="false" ht="15" hidden="false" customHeight="false" outlineLevel="0" collapsed="false">
      <c r="A195" s="16"/>
      <c r="B195" s="17" t="s">
        <v>643</v>
      </c>
      <c r="C195" s="16"/>
      <c r="D195" s="16"/>
      <c r="E195" s="16"/>
      <c r="F195" s="18" t="n">
        <f aca="false">SUMIFS(F185:F194,I185:I194,"O")</f>
        <v>61259</v>
      </c>
      <c r="G195" s="16"/>
      <c r="H195" s="16"/>
      <c r="I195" s="16"/>
      <c r="J195" s="16"/>
      <c r="K195" s="16"/>
      <c r="L195" s="16"/>
      <c r="M195" s="16"/>
      <c r="N195" s="16"/>
    </row>
    <row r="197" customFormat="false" ht="15" hidden="false" customHeight="false" outlineLevel="0" collapsed="false">
      <c r="A197" s="4" t="s">
        <v>644</v>
      </c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customFormat="false" ht="147" hidden="false" customHeight="false" outlineLevel="0" collapsed="false">
      <c r="A198" s="5" t="n">
        <v>141</v>
      </c>
      <c r="B198" s="6" t="s">
        <v>645</v>
      </c>
      <c r="C198" s="7" t="n">
        <v>8610</v>
      </c>
      <c r="D198" s="8" t="n">
        <v>4</v>
      </c>
      <c r="E198" s="6" t="s">
        <v>646</v>
      </c>
      <c r="F198" s="9" t="n">
        <f aca="false">C198*D198</f>
        <v>34440</v>
      </c>
      <c r="G198" s="10" t="s">
        <v>647</v>
      </c>
      <c r="H198" s="11" t="s">
        <v>21</v>
      </c>
      <c r="I198" s="8" t="s">
        <v>22</v>
      </c>
      <c r="J198" s="5" t="s">
        <v>648</v>
      </c>
      <c r="K198" s="5" t="s">
        <v>649</v>
      </c>
      <c r="L198" s="6" t="s">
        <v>650</v>
      </c>
      <c r="M198" s="6" t="s">
        <v>252</v>
      </c>
      <c r="N198" s="11" t="s">
        <v>26</v>
      </c>
    </row>
    <row r="199" customFormat="false" ht="15" hidden="false" customHeight="false" outlineLevel="0" collapsed="false">
      <c r="A199" s="12" t="n">
        <v>142</v>
      </c>
      <c r="B199" s="12" t="s">
        <v>651</v>
      </c>
      <c r="C199" s="13" t="n">
        <v>3500</v>
      </c>
      <c r="D199" s="14" t="n">
        <v>1</v>
      </c>
      <c r="E199" s="12" t="s">
        <v>100</v>
      </c>
      <c r="F199" s="15" t="n">
        <f aca="false">C199*D199</f>
        <v>3500</v>
      </c>
      <c r="G199" s="12"/>
      <c r="H199" s="12" t="s">
        <v>21</v>
      </c>
      <c r="I199" s="14" t="s">
        <v>22</v>
      </c>
      <c r="J199" s="12"/>
      <c r="K199" s="12"/>
      <c r="L199" s="12"/>
      <c r="M199" s="12"/>
      <c r="N199" s="12"/>
    </row>
    <row r="200" customFormat="false" ht="15" hidden="false" customHeight="false" outlineLevel="0" collapsed="false">
      <c r="A200" s="16"/>
      <c r="B200" s="17" t="s">
        <v>652</v>
      </c>
      <c r="C200" s="16"/>
      <c r="D200" s="16"/>
      <c r="E200" s="16"/>
      <c r="F200" s="18" t="n">
        <f aca="false">SUMIFS(F198:F199,I198:I199,"O")</f>
        <v>37940</v>
      </c>
      <c r="G200" s="16"/>
      <c r="H200" s="16"/>
      <c r="I200" s="16"/>
      <c r="J200" s="16"/>
      <c r="K200" s="16"/>
      <c r="L200" s="16"/>
      <c r="M200" s="16"/>
      <c r="N200" s="16"/>
    </row>
    <row r="202" customFormat="false" ht="15" hidden="false" customHeight="false" outlineLevel="0" collapsed="false">
      <c r="A202" s="4" t="s">
        <v>653</v>
      </c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customFormat="false" ht="79.1" hidden="false" customHeight="false" outlineLevel="0" collapsed="false">
      <c r="A203" s="5" t="n">
        <v>143</v>
      </c>
      <c r="B203" s="6" t="s">
        <v>654</v>
      </c>
      <c r="C203" s="7" t="n">
        <v>310</v>
      </c>
      <c r="D203" s="8" t="n">
        <v>100</v>
      </c>
      <c r="E203" s="6" t="s">
        <v>655</v>
      </c>
      <c r="F203" s="9" t="n">
        <f aca="false">C203*D203</f>
        <v>31000</v>
      </c>
      <c r="G203" s="10" t="s">
        <v>656</v>
      </c>
      <c r="H203" s="11" t="s">
        <v>21</v>
      </c>
      <c r="I203" s="8" t="s">
        <v>22</v>
      </c>
      <c r="J203" s="5" t="s">
        <v>657</v>
      </c>
      <c r="K203" s="5" t="s">
        <v>658</v>
      </c>
      <c r="L203" s="6" t="s">
        <v>659</v>
      </c>
      <c r="M203" s="6" t="s">
        <v>660</v>
      </c>
      <c r="N203" s="11" t="s">
        <v>26</v>
      </c>
    </row>
    <row r="204" customFormat="false" ht="15" hidden="false" customHeight="false" outlineLevel="0" collapsed="false">
      <c r="A204" s="16"/>
      <c r="B204" s="17" t="s">
        <v>661</v>
      </c>
      <c r="C204" s="16"/>
      <c r="D204" s="16"/>
      <c r="E204" s="16"/>
      <c r="F204" s="18" t="n">
        <f aca="false">SUMIFS(F203,I203,"O")</f>
        <v>31000</v>
      </c>
      <c r="G204" s="16"/>
      <c r="H204" s="16"/>
      <c r="I204" s="16"/>
      <c r="J204" s="16"/>
      <c r="K204" s="16"/>
      <c r="L204" s="16"/>
      <c r="M204" s="16"/>
      <c r="N204" s="16"/>
    </row>
    <row r="206" customFormat="false" ht="15" hidden="false" customHeight="false" outlineLevel="0" collapsed="false">
      <c r="A206" s="4" t="s">
        <v>662</v>
      </c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customFormat="false" ht="108.2" hidden="false" customHeight="false" outlineLevel="0" collapsed="false">
      <c r="A207" s="5" t="n">
        <v>144</v>
      </c>
      <c r="B207" s="6" t="s">
        <v>663</v>
      </c>
      <c r="C207" s="7" t="n">
        <v>79900</v>
      </c>
      <c r="D207" s="8" t="n">
        <v>1</v>
      </c>
      <c r="E207" s="6" t="s">
        <v>664</v>
      </c>
      <c r="F207" s="9" t="n">
        <f aca="false">C207*D207</f>
        <v>79900</v>
      </c>
      <c r="G207" s="10" t="s">
        <v>665</v>
      </c>
      <c r="H207" s="11" t="s">
        <v>21</v>
      </c>
      <c r="I207" s="8" t="s">
        <v>22</v>
      </c>
      <c r="J207" s="5" t="s">
        <v>666</v>
      </c>
      <c r="K207" s="5" t="s">
        <v>268</v>
      </c>
      <c r="L207" s="6" t="s">
        <v>667</v>
      </c>
      <c r="M207" s="6" t="s">
        <v>270</v>
      </c>
      <c r="N207" s="11" t="s">
        <v>26</v>
      </c>
    </row>
    <row r="208" customFormat="false" ht="15" hidden="false" customHeight="false" outlineLevel="0" collapsed="false">
      <c r="A208" s="16"/>
      <c r="B208" s="17" t="s">
        <v>668</v>
      </c>
      <c r="C208" s="16"/>
      <c r="D208" s="16"/>
      <c r="E208" s="16"/>
      <c r="F208" s="18" t="n">
        <f aca="false">SUMIFS(F207,I207,"O")</f>
        <v>79900</v>
      </c>
      <c r="G208" s="16"/>
      <c r="H208" s="16"/>
      <c r="I208" s="16"/>
      <c r="J208" s="16"/>
      <c r="K208" s="16"/>
      <c r="L208" s="16"/>
      <c r="M208" s="16"/>
      <c r="N208" s="16"/>
    </row>
    <row r="210" customFormat="false" ht="15" hidden="false" customHeight="false" outlineLevel="0" collapsed="false">
      <c r="B210" s="19" t="s">
        <v>669</v>
      </c>
    </row>
    <row r="211" customFormat="false" ht="15" hidden="false" customHeight="false" outlineLevel="0" collapsed="false">
      <c r="B211" s="20" t="s">
        <v>670</v>
      </c>
      <c r="F211" s="21" t="n">
        <f aca="false">SUMIFS($F$6:$F$209,$H$6:$H$209,"기본",$I$6:$I$209,"O")</f>
        <v>754492</v>
      </c>
    </row>
    <row r="212" customFormat="false" ht="15" hidden="false" customHeight="false" outlineLevel="0" collapsed="false">
      <c r="B212" s="20" t="s">
        <v>671</v>
      </c>
      <c r="F212" s="21" t="n">
        <f aca="false">SUMIFS($F$6:$F$209,$H$6:$H$209,"소모품",$I$6:$I$209,"O")</f>
        <v>229536</v>
      </c>
    </row>
    <row r="213" customFormat="false" ht="15" hidden="false" customHeight="false" outlineLevel="0" collapsed="false">
      <c r="B213" s="20" t="s">
        <v>672</v>
      </c>
      <c r="F213" s="21" t="n">
        <f aca="false">SUMIFS($F$6:$F$209,$H$6:$H$209,"공구",$I$6:$I$209,"O")</f>
        <v>150149</v>
      </c>
    </row>
    <row r="214" customFormat="false" ht="16.15" hidden="false" customHeight="false" outlineLevel="0" collapsed="false">
      <c r="B214" s="22" t="s">
        <v>673</v>
      </c>
      <c r="F214" s="23" t="n">
        <f aca="false">F211+F212+F213</f>
        <v>1134177</v>
      </c>
    </row>
    <row r="215" customFormat="false" ht="17.15" hidden="false" customHeight="false" outlineLevel="0" collapsed="false">
      <c r="B215" s="24" t="s">
        <v>674</v>
      </c>
      <c r="F215" s="25" t="n">
        <f aca="false">F22+F69+F104+F111+F117+F125+F132+F136+F142+F148+F155+F160+F164+F171+F176+F182+F195+F200+F204+F208</f>
        <v>1134177</v>
      </c>
      <c r="L215" s="2" t="s">
        <v>675</v>
      </c>
    </row>
    <row r="216" customFormat="false" ht="15" hidden="false" customHeight="false" outlineLevel="0" collapsed="false">
      <c r="B216" s="24" t="s">
        <v>676</v>
      </c>
      <c r="F216" s="26" t="n">
        <v>1000000</v>
      </c>
      <c r="L216" s="2" t="s">
        <v>677</v>
      </c>
    </row>
    <row r="217" customFormat="false" ht="17.15" hidden="false" customHeight="false" outlineLevel="0" collapsed="false">
      <c r="B217" s="20" t="s">
        <v>678</v>
      </c>
      <c r="F217" s="25" t="n">
        <f aca="false">F216-F211</f>
        <v>245508</v>
      </c>
    </row>
    <row r="219" customFormat="false" ht="15" hidden="false" customHeight="false" outlineLevel="0" collapsed="false">
      <c r="A219" s="20" t="s">
        <v>679</v>
      </c>
    </row>
    <row r="220" customFormat="false" ht="15" hidden="false" customHeight="false" outlineLevel="0" collapsed="false">
      <c r="B220" s="27" t="s">
        <v>680</v>
      </c>
    </row>
    <row r="221" customFormat="false" ht="15" hidden="false" customHeight="false" outlineLevel="0" collapsed="false">
      <c r="B221" s="27" t="s">
        <v>681</v>
      </c>
    </row>
    <row r="222" customFormat="false" ht="15" hidden="false" customHeight="false" outlineLevel="0" collapsed="false">
      <c r="B222" s="27" t="s">
        <v>682</v>
      </c>
    </row>
    <row r="223" customFormat="false" ht="15" hidden="false" customHeight="false" outlineLevel="0" collapsed="false">
      <c r="B223" s="27" t="s">
        <v>683</v>
      </c>
    </row>
    <row r="224" customFormat="false" ht="15" hidden="false" customHeight="false" outlineLevel="0" collapsed="false">
      <c r="B224" s="27" t="s">
        <v>684</v>
      </c>
    </row>
    <row r="225" customFormat="false" ht="15" hidden="false" customHeight="false" outlineLevel="0" collapsed="false">
      <c r="B225" s="27" t="s">
        <v>685</v>
      </c>
    </row>
    <row r="226" customFormat="false" ht="15" hidden="false" customHeight="false" outlineLevel="0" collapsed="false">
      <c r="B226" s="27" t="s">
        <v>686</v>
      </c>
    </row>
    <row r="227" customFormat="false" ht="15" hidden="false" customHeight="false" outlineLevel="0" collapsed="false">
      <c r="B227" s="27" t="s">
        <v>687</v>
      </c>
    </row>
    <row r="228" customFormat="false" ht="15" hidden="false" customHeight="false" outlineLevel="0" collapsed="false">
      <c r="B228" s="27" t="s">
        <v>688</v>
      </c>
    </row>
    <row r="229" customFormat="false" ht="15" hidden="false" customHeight="false" outlineLevel="0" collapsed="false">
      <c r="B229" s="27" t="s">
        <v>689</v>
      </c>
    </row>
    <row r="230" customFormat="false" ht="15" hidden="false" customHeight="false" outlineLevel="0" collapsed="false">
      <c r="B230" s="27" t="s">
        <v>690</v>
      </c>
    </row>
    <row r="231" customFormat="false" ht="15" hidden="false" customHeight="false" outlineLevel="0" collapsed="false">
      <c r="B231" s="27" t="s">
        <v>691</v>
      </c>
    </row>
    <row r="232" customFormat="false" ht="15" hidden="false" customHeight="false" outlineLevel="0" collapsed="false">
      <c r="B232" s="27" t="s">
        <v>692</v>
      </c>
    </row>
    <row r="233" customFormat="false" ht="15" hidden="false" customHeight="false" outlineLevel="0" collapsed="false">
      <c r="B233" s="27" t="s">
        <v>693</v>
      </c>
    </row>
    <row r="234" customFormat="false" ht="15" hidden="false" customHeight="false" outlineLevel="0" collapsed="false">
      <c r="B234" s="27" t="s">
        <v>694</v>
      </c>
    </row>
    <row r="235" customFormat="false" ht="15" hidden="false" customHeight="false" outlineLevel="0" collapsed="false">
      <c r="B235" s="27" t="s">
        <v>695</v>
      </c>
    </row>
  </sheetData>
  <mergeCells count="20">
    <mergeCell ref="A6:N6"/>
    <mergeCell ref="A24:N24"/>
    <mergeCell ref="A71:N71"/>
    <mergeCell ref="A106:N106"/>
    <mergeCell ref="A113:N113"/>
    <mergeCell ref="A119:N119"/>
    <mergeCell ref="A127:N127"/>
    <mergeCell ref="A134:N134"/>
    <mergeCell ref="A138:N138"/>
    <mergeCell ref="A144:N144"/>
    <mergeCell ref="A150:N150"/>
    <mergeCell ref="A157:N157"/>
    <mergeCell ref="A162:N162"/>
    <mergeCell ref="A166:N166"/>
    <mergeCell ref="A173:N173"/>
    <mergeCell ref="A178:N178"/>
    <mergeCell ref="A184:N184"/>
    <mergeCell ref="A197:N197"/>
    <mergeCell ref="A202:N202"/>
    <mergeCell ref="A206:N206"/>
  </mergeCells>
  <conditionalFormatting sqref="A6:N209">
    <cfRule type="expression" priority="2" aboveAverage="0" equalAverage="0" bottom="0" percent="0" rank="0" text="" dxfId="0">
      <formula>$I6="X"</formula>
    </cfRule>
  </conditionalFormatting>
  <dataValidations count="1">
    <dataValidation allowBlank="false" errorStyle="stop" operator="between" showDropDown="false" showErrorMessage="false" showInputMessage="false" sqref="I7:I21 I25:I68 I72:I103 I107:I110 I114:I116 I120:I124 I128:I131 I135 I139:I141 I145:I147 I151:I154 I158:I159 I163 I167:I170 I174:I175 I179:I181 I185:I194 I198:I199 I203 I207" type="list">
      <formula1>"O,X"</formula1>
      <formula2>0</formula2>
    </dataValidation>
  </dataValidations>
  <hyperlinks>
    <hyperlink ref="G7" r:id="rId1" display="https://www.icbanq.com/P016286897"/>
    <hyperlink ref="G8" r:id="rId2" display="https://www.icbanq.com/P017179277"/>
    <hyperlink ref="G9" r:id="rId3" display="https://www.icbanq.com/P017179502"/>
    <hyperlink ref="G10" r:id="rId4" display="https://www.icbanq.com/P018076669"/>
    <hyperlink ref="G11" r:id="rId5" display="https://www.icbanq.com/P005666127"/>
    <hyperlink ref="G12" r:id="rId6" display="https://www.icbanq.com/P014968846"/>
    <hyperlink ref="G13" r:id="rId7" display="https://www.icbanq.com/P001248090"/>
    <hyperlink ref="G14" r:id="rId8" display="https://www.icbanq.com/P011433924"/>
    <hyperlink ref="G15" r:id="rId9" display="https://www.icbanq.com/P017179248"/>
    <hyperlink ref="G16" r:id="rId10" display="https://www.icbanq.com/P014159115"/>
    <hyperlink ref="G17" r:id="rId11" display="https://www.icbanq.com/P015976209"/>
    <hyperlink ref="G18" r:id="rId12" display="https://www.icbanq.com/P015309984"/>
    <hyperlink ref="G19" r:id="rId13" display="https://www.icbanq.com/P004711396"/>
    <hyperlink ref="G20" r:id="rId14" display="https://www.icbanq.com/P015973844"/>
    <hyperlink ref="G25" r:id="rId15" display="https://www.eleparts.co.kr/goods/view?no=32569"/>
    <hyperlink ref="G26" r:id="rId16" display="https://www.eleparts.co.kr/goods/view?no=3237821"/>
    <hyperlink ref="G27" r:id="rId17" display="https://www.eleparts.co.kr/goods/view?no=12766820"/>
    <hyperlink ref="G28" r:id="rId18" display="https://www.eleparts.co.kr/goods/view?no=18842596"/>
    <hyperlink ref="G29" r:id="rId19" display="https://www.eleparts.co.kr/goods/view?no=17806170"/>
    <hyperlink ref="G30" r:id="rId20" display="https://www.eleparts.co.kr/goods/view?no=8105815"/>
    <hyperlink ref="G31" r:id="rId21" display="https://www.eleparts.co.kr/goods/view?no=12816289"/>
    <hyperlink ref="G32" r:id="rId22" display="https://www.eleparts.co.kr/goods/view?no=4314354"/>
    <hyperlink ref="G33" r:id="rId23" display="https://www.eleparts.co.kr/goods/view?no=4313490"/>
    <hyperlink ref="G34" r:id="rId24" display="https://www.eleparts.co.kr/goods/view?no=425"/>
    <hyperlink ref="G35" r:id="rId25" display="https://www.eleparts.co.kr/goods/view?no=425"/>
    <hyperlink ref="G36" r:id="rId26" display="https://www.eleparts.co.kr/goods/view?no=8170311"/>
    <hyperlink ref="G37" r:id="rId27" display="https://www.eleparts.co.kr/goods/view?no=557"/>
    <hyperlink ref="G38" r:id="rId28" display="https://www.eleparts.co.kr/goods/view?no=9100003"/>
    <hyperlink ref="G39" r:id="rId29" display="https://www.eleparts.co.kr/goods/view?no=12755646"/>
    <hyperlink ref="G40" r:id="rId30" display="https://www.eleparts.co.kr/goods/view?no=11045753"/>
    <hyperlink ref="G41" r:id="rId31" display="https://www.eleparts.co.kr/goods/view?no=10911"/>
    <hyperlink ref="G42" r:id="rId32" display="https://www.eleparts.co.kr/goods/view?no=10951"/>
    <hyperlink ref="G43" r:id="rId33" display="https://www.eleparts.co.kr/goods/view?no=10993"/>
    <hyperlink ref="G44" r:id="rId34" display="https://www.eleparts.co.kr/goods/view?no=10873"/>
    <hyperlink ref="G45" r:id="rId35" display="https://www.eleparts.co.kr/goods/view?no=67811"/>
    <hyperlink ref="G46" r:id="rId36" display="https://www.eleparts.co.kr/goods/view?no=11043038"/>
    <hyperlink ref="G47" r:id="rId37" display="https://www.eleparts.co.kr/goods/view?no=12779720"/>
    <hyperlink ref="G48" r:id="rId38" display="https://www.eleparts.co.kr/goods/view?no=12779721"/>
    <hyperlink ref="G49" r:id="rId39" display="https://www.eleparts.co.kr/goods/view?no=18388615"/>
    <hyperlink ref="G50" r:id="rId40" display="https://www.eleparts.co.kr/goods/view?no=2925673"/>
    <hyperlink ref="G51" r:id="rId41" display="https://www.eleparts.co.kr/goods/view?no=16628292"/>
    <hyperlink ref="G52" r:id="rId42" display="https://www.eleparts.co.kr/goods/view?no=11045752"/>
    <hyperlink ref="G53" r:id="rId43" display="https://www.eleparts.co.kr/goods/view?no=17897439"/>
    <hyperlink ref="G54" r:id="rId44" display="https://www.eleparts.co.kr/goods/view?no=6779159"/>
    <hyperlink ref="G55" r:id="rId45" display="https://www.eleparts.co.kr/goods/view?no=3787704"/>
    <hyperlink ref="G56" r:id="rId46" display="https://www.eleparts.co.kr/goods/view?no=7663472"/>
    <hyperlink ref="G57" r:id="rId47" display="https://www.eleparts.co.kr/goods/view?no=16549359"/>
    <hyperlink ref="G58" r:id="rId48" display="https://www.eleparts.co.kr/goods/view?no=9100747"/>
    <hyperlink ref="G59" r:id="rId49" display="https://www.eleparts.co.kr/goods/view?no=4101973"/>
    <hyperlink ref="G60" r:id="rId50" display="https://www.eleparts.co.kr/goods/view?no=12185326"/>
    <hyperlink ref="G61" r:id="rId51" display="https://www.eleparts.co.kr/goods/view?no=2923219"/>
    <hyperlink ref="G62" r:id="rId52" display="https://www.eleparts.co.kr/goods/view?no=18622271"/>
    <hyperlink ref="G63" r:id="rId53" display="https://www.eleparts.co.kr/goods/view?no=18581287"/>
    <hyperlink ref="G64" r:id="rId54" display="https://www.eleparts.co.kr/goods/view?no=9461190"/>
    <hyperlink ref="G65" r:id="rId55" display="https://www.eleparts.co.kr/goods/view?no=9461199"/>
    <hyperlink ref="G66" r:id="rId56" display="https://www.eleparts.co.kr/goods/view?no=9756990"/>
    <hyperlink ref="G67" r:id="rId57" display="https://www.eleparts.co.kr/goods/view?no=9756998"/>
    <hyperlink ref="G72" r:id="rId58" display="https://www.11st.co.kr/products/4236198413"/>
    <hyperlink ref="G73" r:id="rId59" display="https://www.11st.co.kr/products/1565354988"/>
    <hyperlink ref="G74" r:id="rId60" display="https://www.11st.co.kr/products/4236198413"/>
    <hyperlink ref="G75" r:id="rId61" display="https://www.11st.co.kr/products/2325598213"/>
    <hyperlink ref="G76" r:id="rId62" display="https://www.11st.co.kr/products/4353471537"/>
    <hyperlink ref="G77" r:id="rId63" display="https://www.11st.co.kr/products/4353471537"/>
    <hyperlink ref="G78" r:id="rId64" display="https://www.11st.co.kr/products/4350230243"/>
    <hyperlink ref="G79" r:id="rId65" display="https://www.11st.co.kr/products/4236198586"/>
    <hyperlink ref="G80" r:id="rId66" display="https://www.11st.co.kr/products/4236198413"/>
    <hyperlink ref="G81" r:id="rId67" display="https://www.11st.co.kr/products/4236198413"/>
    <hyperlink ref="G82" r:id="rId68" display="https://www.11st.co.kr/products/4236198413"/>
    <hyperlink ref="G83" r:id="rId69" display="https://www.11st.co.kr/products/4236198413"/>
    <hyperlink ref="G84" r:id="rId70" display="https://www.11st.co.kr/products/4236198413"/>
    <hyperlink ref="G85" r:id="rId71" display="https://www.11st.co.kr/products/7591566666"/>
    <hyperlink ref="G86" r:id="rId72" display="https://www.11st.co.kr/products/8517880969"/>
    <hyperlink ref="G87" r:id="rId73" display="https://www.11st.co.kr/products/9579455646"/>
    <hyperlink ref="G88" r:id="rId74" display="https://www.11st.co.kr/products/4236198413"/>
    <hyperlink ref="G89" r:id="rId75" display="https://www.11st.co.kr/products/4236198413"/>
    <hyperlink ref="G90" r:id="rId76" display="https://www.11st.co.kr/products/1304631510"/>
    <hyperlink ref="G91" r:id="rId77" display="https://www.11st.co.kr/products/1304631510"/>
    <hyperlink ref="G92" r:id="rId78" display="https://www.11st.co.kr/products/8517880969"/>
    <hyperlink ref="G93" r:id="rId79" display="https://www.11st.co.kr/products/1333385437"/>
    <hyperlink ref="G94" r:id="rId80" display="https://www.11st.co.kr/products/7459325704"/>
    <hyperlink ref="G95" r:id="rId81" display="https://www.11st.co.kr/products/4236198413"/>
    <hyperlink ref="G96" r:id="rId82" display="https://www.11st.co.kr/products/4236198413"/>
    <hyperlink ref="G107" r:id="rId83" display="https://www.mechasolution.com/goods/goods_view.php?goodsNo=605179"/>
    <hyperlink ref="G108" r:id="rId84" display="https://www.mechasolution.com/goods/goods_view.php?goodsNo=540645"/>
    <hyperlink ref="G109" r:id="rId85" display="https://www.mechasolution.com/goods/goods_view.php?goodsNo=329798"/>
    <hyperlink ref="G114" r:id="rId86" display="https://parts-parts.co.kr/product/detail.html?product_no=2383"/>
    <hyperlink ref="G115" r:id="rId87" display="https://parts-parts.co.kr/product/detail.html?product_no=303"/>
    <hyperlink ref="G120" r:id="rId88" display="https://kr.store.bambulab.com/products/petg-basic"/>
    <hyperlink ref="G121" r:id="rId89" display="https://kr.store.bambulab.com/products/petg-basic"/>
    <hyperlink ref="G122" r:id="rId90" display="https://kr.store.bambulab.com/products/petg-basic"/>
    <hyperlink ref="G123" r:id="rId91" display="https://kr.store.bambulab.com/products/petg-basic"/>
    <hyperlink ref="G128" r:id="rId92" display="https://prod.danawa.com/info/?pcode=20358155"/>
    <hyperlink ref="G129" r:id="rId93" display="https://prod.danawa.com/info/?pcode=29865749"/>
    <hyperlink ref="G130" r:id="rId94" display="https://prod.danawa.com/info/?pcode=59074565"/>
    <hyperlink ref="G135" r:id="rId95" display="https://namugongjang.com/product/detail.html?product_no=1378"/>
    <hyperlink ref="G139" r:id="rId96" display="https://dgmagnet.com/product/%EC%B4%88%EA%B0%95%EB%A0%A5-%EB%84%A4%EC%98%A4%EB%94%94%EC%9B%80-%EC%9B%90%ED%98%95%EC%9E%90%EC%84%9D-5mm/13/"/>
    <hyperlink ref="G140" r:id="rId97" display="https://dgmagnet.com/product/detail.html?product_no=17"/>
    <hyperlink ref="G145" r:id="rId98" display="https://www.rcbank.co.kr/shop/goods/goods_view.php?goodsno=29812"/>
    <hyperlink ref="G146" r:id="rId99" display="https://www.rcbank.co.kr/shop/goods/goods_view.php?goodsno=67110"/>
    <hyperlink ref="G151" r:id="rId100" display="https://studiobunt.com/product/detail.html?product_no=2948"/>
    <hyperlink ref="G152" r:id="rId101" display="https://studiobunt.com/product/detail.html?product_no=4117"/>
    <hyperlink ref="G153" r:id="rId102" display="https://studiobunt.com/product/detail.html?product_no=1157"/>
    <hyperlink ref="G158" r:id="rId103" display="https://pianomoa.com/product/%EB%93%80%EB%A1%9C-%ED%94%BC%EC%95%84%EB%85%B8-%ED%8E%98%EB%8B%AC-%EC%84%9C%EC%8A%A4%ED%85%8C%EC%9D%B8-%EC%A0%84%EA%B8%B0%EC%A2%85%ED%98%B8%ED%99%98%EA%B0%80%EB%8A%A5-%EC%A0%84%EC%9E%90%ED%82%A4%EB%B3%B4%EB%93%9C-%EB%94%94%EC%A7%80%ED%84%B8-%ED%94%BC%EC%95%84%EB%85%B8-%EB%8C%90%ED%8D%BC/4117/"/>
    <hyperlink ref="G163" r:id="rId104" display="https://www.apple.com/kr/shop/product/mw2q3kh/a"/>
    <hyperlink ref="G167" r:id="rId105" display="https://pine64.com/product/pinecil-smart-mini-portable-soldering-iron/"/>
    <hyperlink ref="G168" r:id="rId106" display="https://pine64.com/product/pinecil-portable-mini-stand/"/>
    <hyperlink ref="G169" r:id="rId107" display="https://pine64.com/product/usb-type-c-to-usb-type-c-silicone-power-charging-cable-1-meter-length/"/>
    <hyperlink ref="G174" r:id="rId108" display="https://www.fluidsynth.org/"/>
    <hyperlink ref="G175" r:id="rId109" display="https://freepats.zenvoid.org/Piano/acoustic-grand-piano.html"/>
    <hyperlink ref="G179" r:id="rId110" display="https://nasakorea.com/goods/goods_view.php?goodsNo=6090"/>
    <hyperlink ref="G180" r:id="rId111" display="https://www.nasakorea.com/goods/goods_view.php?goodsNo=6009"/>
    <hyperlink ref="G185" r:id="rId112" display="https://www.navimro.com/g/3544290/"/>
    <hyperlink ref="G186" r:id="rId113" display="https://www.navimro.com/g/312592/?k=K15538680"/>
    <hyperlink ref="G187" r:id="rId114" display="https://www.navimro.com/g/395062/"/>
    <hyperlink ref="G188" r:id="rId115" display="https://www.navimro.com/g/1028764/"/>
    <hyperlink ref="G189" r:id="rId116" display="https://www.navimro.com/g/1029233/"/>
    <hyperlink ref="G190" r:id="rId117" display="https://www.navimro.com/g/37021/"/>
    <hyperlink ref="G191" r:id="rId118" display="https://www.navimro.com/g/171100/"/>
    <hyperlink ref="G192" r:id="rId119" display="https://www.navimro.com/g/3523817/"/>
    <hyperlink ref="G193" r:id="rId120" display="https://www.navimro.com/g/1068385/"/>
    <hyperlink ref="G198" r:id="rId121" display="https://www.allsteelshop.com/product/squareplate/9t"/>
    <hyperlink ref="G203" r:id="rId122" display="https://kr.misumi-ec.com/vona2/detail/110310556289/?HissuCode=C-UA90R5-3-0.5"/>
    <hyperlink ref="G207" r:id="rId123" display="https://item.gmarket.co.kr/Item?goodscode=4783965807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9"/>
  </cols>
  <sheetData>
    <row r="1" customFormat="false" ht="15" hidden="false" customHeight="false" outlineLevel="0" collapsed="false">
      <c r="A1" s="28" t="s">
        <v>3</v>
      </c>
      <c r="B1" s="28" t="s">
        <v>696</v>
      </c>
      <c r="C1" s="28" t="s">
        <v>697</v>
      </c>
      <c r="D1" s="28" t="s">
        <v>698</v>
      </c>
      <c r="E1" s="28" t="s">
        <v>699</v>
      </c>
    </row>
    <row r="2" customFormat="false" ht="15" hidden="false" customHeight="false" outlineLevel="0" collapsed="false">
      <c r="A2" s="12" t="n">
        <v>1</v>
      </c>
      <c r="B2" s="12" t="s">
        <v>23</v>
      </c>
      <c r="C2" s="12" t="n">
        <f aca="false">COUNTIFS(구매목록!I7:I21,"O",구매목록!E7:E21,"&lt;&gt;배송비")</f>
        <v>14</v>
      </c>
      <c r="D2" s="15" t="n">
        <f aca="false">구매목록!F22</f>
        <v>242170</v>
      </c>
      <c r="E2" s="29" t="n">
        <f aca="false">IF(구매목록!F214=0,0,D2/구매목록!F214)</f>
        <v>0.213520464618838</v>
      </c>
    </row>
    <row r="3" customFormat="false" ht="15" hidden="false" customHeight="false" outlineLevel="0" collapsed="false">
      <c r="A3" s="12" t="n">
        <v>2</v>
      </c>
      <c r="B3" s="12" t="s">
        <v>106</v>
      </c>
      <c r="C3" s="12" t="n">
        <f aca="false">COUNTIFS(구매목록!I25:I68,"O",구매목록!E25:E68,"&lt;&gt;배송비")</f>
        <v>43</v>
      </c>
      <c r="D3" s="15" t="n">
        <f aca="false">구매목록!F69</f>
        <v>159848</v>
      </c>
      <c r="E3" s="29" t="n">
        <f aca="false">IF(구매목록!F214=0,0,D3/구매목록!F214)</f>
        <v>0.140937437454648</v>
      </c>
    </row>
    <row r="4" customFormat="false" ht="15" hidden="false" customHeight="false" outlineLevel="0" collapsed="false">
      <c r="A4" s="12" t="n">
        <v>3</v>
      </c>
      <c r="B4" s="12" t="s">
        <v>700</v>
      </c>
      <c r="C4" s="12" t="n">
        <f aca="false">COUNTIFS(구매목록!I72:I103,"O",구매목록!E72:E103,"&lt;&gt;배송비")</f>
        <v>25</v>
      </c>
      <c r="D4" s="15" t="n">
        <f aca="false">구매목록!F104</f>
        <v>95980</v>
      </c>
      <c r="E4" s="29" t="n">
        <f aca="false">IF(구매목록!F214=0,0,D4/구매목록!F214)</f>
        <v>0.0846252392704137</v>
      </c>
    </row>
    <row r="5" customFormat="false" ht="15" hidden="false" customHeight="false" outlineLevel="0" collapsed="false">
      <c r="A5" s="12" t="n">
        <v>4</v>
      </c>
      <c r="B5" s="12" t="s">
        <v>413</v>
      </c>
      <c r="C5" s="12" t="n">
        <f aca="false">COUNTIFS(구매목록!I107:I110,"O",구매목록!E107:E110,"&lt;&gt;배송비")</f>
        <v>3</v>
      </c>
      <c r="D5" s="15" t="n">
        <f aca="false">구매목록!F111</f>
        <v>12960</v>
      </c>
      <c r="E5" s="29" t="n">
        <f aca="false">IF(구매목록!F214=0,0,D5/구매목록!F214)</f>
        <v>0.0114267878823147</v>
      </c>
    </row>
    <row r="6" customFormat="false" ht="15" hidden="false" customHeight="false" outlineLevel="0" collapsed="false">
      <c r="A6" s="12" t="n">
        <v>5</v>
      </c>
      <c r="B6" s="12" t="s">
        <v>701</v>
      </c>
      <c r="C6" s="12" t="n">
        <f aca="false">COUNTIFS(구매목록!I114:I116,"O",구매목록!E114:E116,"&lt;&gt;배송비")</f>
        <v>2</v>
      </c>
      <c r="D6" s="15" t="n">
        <f aca="false">구매목록!F117</f>
        <v>32900</v>
      </c>
      <c r="E6" s="29" t="n">
        <f aca="false">IF(구매목록!F214=0,0,D6/구매목록!F214)</f>
        <v>0.0290078180037155</v>
      </c>
    </row>
    <row r="7" customFormat="false" ht="15" hidden="false" customHeight="false" outlineLevel="0" collapsed="false">
      <c r="A7" s="12" t="n">
        <v>6</v>
      </c>
      <c r="B7" s="12" t="s">
        <v>702</v>
      </c>
      <c r="C7" s="12" t="n">
        <f aca="false">COUNTIFS(구매목록!I120:I124,"O",구매목록!E120:E124,"&lt;&gt;배송비")</f>
        <v>4</v>
      </c>
      <c r="D7" s="15" t="n">
        <f aca="false">구매목록!F125</f>
        <v>125800</v>
      </c>
      <c r="E7" s="29" t="n">
        <f aca="false">IF(구매목록!F214=0,0,D7/구매목록!F214)</f>
        <v>0.110917431758888</v>
      </c>
    </row>
    <row r="8" customFormat="false" ht="15" hidden="false" customHeight="false" outlineLevel="0" collapsed="false">
      <c r="A8" s="12" t="n">
        <v>7</v>
      </c>
      <c r="B8" s="12" t="s">
        <v>703</v>
      </c>
      <c r="C8" s="12" t="n">
        <f aca="false">COUNTIFS(구매목록!I128:I131,"O",구매목록!E128:E131,"&lt;&gt;배송비")</f>
        <v>3</v>
      </c>
      <c r="D8" s="15" t="n">
        <f aca="false">구매목록!F132</f>
        <v>68990</v>
      </c>
      <c r="E8" s="29" t="n">
        <f aca="false">IF(구매목록!F214=0,0,D8/구매목록!F214)</f>
        <v>0.0608282481482167</v>
      </c>
    </row>
    <row r="9" customFormat="false" ht="15" hidden="false" customHeight="false" outlineLevel="0" collapsed="false">
      <c r="A9" s="12" t="n">
        <v>8</v>
      </c>
      <c r="B9" s="12" t="s">
        <v>483</v>
      </c>
      <c r="C9" s="12" t="n">
        <f aca="false">COUNTIFS(구매목록!I135,"O",구매목록!E135,"&lt;&gt;배송비")</f>
        <v>1</v>
      </c>
      <c r="D9" s="15" t="n">
        <f aca="false">구매목록!F136</f>
        <v>17680</v>
      </c>
      <c r="E9" s="29" t="n">
        <f aca="false">IF(구매목록!F214=0,0,D9/구매목록!F214)</f>
        <v>0.0155883958147626</v>
      </c>
    </row>
    <row r="10" customFormat="false" ht="15" hidden="false" customHeight="false" outlineLevel="0" collapsed="false">
      <c r="A10" s="12" t="n">
        <v>9</v>
      </c>
      <c r="B10" s="12" t="s">
        <v>491</v>
      </c>
      <c r="C10" s="12" t="n">
        <f aca="false">COUNTIFS(구매목록!I139:I141,"O",구매목록!E139:E141,"&lt;&gt;배송비")</f>
        <v>2</v>
      </c>
      <c r="D10" s="15" t="n">
        <f aca="false">구매목록!F142</f>
        <v>12740</v>
      </c>
      <c r="E10" s="29" t="n">
        <f aca="false">IF(구매목록!F214=0,0,D10/구매목록!F214)</f>
        <v>0.011232814631226</v>
      </c>
    </row>
    <row r="11" customFormat="false" ht="15" hidden="false" customHeight="false" outlineLevel="0" collapsed="false">
      <c r="A11" s="12" t="n">
        <v>10</v>
      </c>
      <c r="B11" s="12" t="s">
        <v>504</v>
      </c>
      <c r="C11" s="12" t="n">
        <f aca="false">COUNTIFS(구매목록!I145:I147,"O",구매목록!E145:E147,"&lt;&gt;배송비")</f>
        <v>2</v>
      </c>
      <c r="D11" s="15" t="n">
        <f aca="false">구매목록!F148</f>
        <v>14000</v>
      </c>
      <c r="E11" s="29" t="n">
        <f aca="false">IF(구매목록!F214=0,0,D11/구매목록!F214)</f>
        <v>0.0123437523420066</v>
      </c>
    </row>
    <row r="12" customFormat="false" ht="15" hidden="false" customHeight="false" outlineLevel="0" collapsed="false">
      <c r="A12" s="12" t="n">
        <v>11</v>
      </c>
      <c r="B12" s="12" t="s">
        <v>517</v>
      </c>
      <c r="C12" s="12" t="n">
        <f aca="false">COUNTIFS(구매목록!I151:I154,"O",구매목록!E151:E154,"&lt;&gt;배송비")</f>
        <v>3</v>
      </c>
      <c r="D12" s="15" t="n">
        <f aca="false">구매목록!F155</f>
        <v>29200</v>
      </c>
      <c r="E12" s="29" t="n">
        <f aca="false">IF(구매목록!F214=0,0,D12/구매목록!F214)</f>
        <v>0.0257455405990423</v>
      </c>
    </row>
    <row r="13" customFormat="false" ht="15" hidden="false" customHeight="false" outlineLevel="0" collapsed="false">
      <c r="A13" s="12" t="n">
        <v>12</v>
      </c>
      <c r="B13" s="12" t="s">
        <v>534</v>
      </c>
      <c r="C13" s="12" t="n">
        <f aca="false">COUNTIFS(구매목록!I158:I159,"O",구매목록!E158:E159,"&lt;&gt;배송비")</f>
        <v>1</v>
      </c>
      <c r="D13" s="15" t="n">
        <f aca="false">구매목록!F160</f>
        <v>11500</v>
      </c>
      <c r="E13" s="29" t="n">
        <f aca="false">IF(구매목록!F214=0,0,D13/구매목록!F214)</f>
        <v>0.0101395108523626</v>
      </c>
    </row>
    <row r="14" customFormat="false" ht="15" hidden="false" customHeight="false" outlineLevel="0" collapsed="false">
      <c r="A14" s="12" t="n">
        <v>13</v>
      </c>
      <c r="B14" s="12" t="s">
        <v>704</v>
      </c>
      <c r="C14" s="12" t="n">
        <f aca="false">COUNTIFS(구매목록!I163,"O",구매목록!E163,"&lt;&gt;배송비")</f>
        <v>1</v>
      </c>
      <c r="D14" s="15" t="n">
        <f aca="false">구매목록!F164</f>
        <v>14900</v>
      </c>
      <c r="E14" s="29" t="n">
        <f aca="false">IF(구매목록!F214=0,0,D14/구매목록!F214)</f>
        <v>0.0131372792782784</v>
      </c>
    </row>
    <row r="15" customFormat="false" ht="15" hidden="false" customHeight="false" outlineLevel="0" collapsed="false">
      <c r="A15" s="12" t="n">
        <v>14</v>
      </c>
      <c r="B15" s="12" t="s">
        <v>705</v>
      </c>
      <c r="C15" s="12" t="n">
        <f aca="false">COUNTIFS(구매목록!I167:I170,"O",구매목록!E167:E170,"&lt;&gt;배송비")</f>
        <v>3</v>
      </c>
      <c r="D15" s="15" t="n">
        <f aca="false">구매목록!F171</f>
        <v>58810</v>
      </c>
      <c r="E15" s="29" t="n">
        <f aca="false">IF(구매목록!F214=0,0,D15/구매목록!F214)</f>
        <v>0.0518525768023862</v>
      </c>
    </row>
    <row r="16" customFormat="false" ht="15" hidden="false" customHeight="false" outlineLevel="0" collapsed="false">
      <c r="A16" s="12" t="n">
        <v>15</v>
      </c>
      <c r="B16" s="12" t="s">
        <v>706</v>
      </c>
      <c r="C16" s="12" t="n">
        <f aca="false">COUNTIFS(구매목록!I174:I175,"O",구매목록!E174:E175,"&lt;&gt;배송비")</f>
        <v>2</v>
      </c>
      <c r="D16" s="15" t="n">
        <f aca="false">구매목록!F176</f>
        <v>0</v>
      </c>
      <c r="E16" s="29" t="n">
        <f aca="false">IF(구매목록!F214=0,0,D16/구매목록!F214)</f>
        <v>0</v>
      </c>
    </row>
    <row r="17" customFormat="false" ht="15" hidden="false" customHeight="false" outlineLevel="0" collapsed="false">
      <c r="A17" s="12" t="n">
        <v>16</v>
      </c>
      <c r="B17" s="12" t="s">
        <v>580</v>
      </c>
      <c r="C17" s="12" t="n">
        <f aca="false">COUNTIFS(구매목록!I179:I181,"O",구매목록!E179:E181,"&lt;&gt;배송비")</f>
        <v>2</v>
      </c>
      <c r="D17" s="15" t="n">
        <f aca="false">구매목록!F182</f>
        <v>26600</v>
      </c>
      <c r="E17" s="29" t="n">
        <f aca="false">IF(구매목록!F214=0,0,D17/구매목록!F214)</f>
        <v>0.0234531294498125</v>
      </c>
    </row>
    <row r="18" customFormat="false" ht="15" hidden="false" customHeight="false" outlineLevel="0" collapsed="false">
      <c r="A18" s="12" t="n">
        <v>17</v>
      </c>
      <c r="B18" s="12" t="s">
        <v>594</v>
      </c>
      <c r="C18" s="12" t="n">
        <f aca="false">COUNTIFS(구매목록!I185:I194,"O",구매목록!E185:E194,"&lt;&gt;배송비")</f>
        <v>8</v>
      </c>
      <c r="D18" s="15" t="n">
        <f aca="false">구매목록!F195</f>
        <v>61259</v>
      </c>
      <c r="E18" s="29" t="n">
        <f aca="false">IF(구매목록!F214=0,0,D18/구매목록!F214)</f>
        <v>0.0540118517656415</v>
      </c>
    </row>
    <row r="19" customFormat="false" ht="15" hidden="false" customHeight="false" outlineLevel="0" collapsed="false">
      <c r="A19" s="12" t="n">
        <v>18</v>
      </c>
      <c r="B19" s="12" t="s">
        <v>648</v>
      </c>
      <c r="C19" s="12" t="n">
        <f aca="false">COUNTIFS(구매목록!I198:I199,"O",구매목록!E198:E199,"&lt;&gt;배송비")</f>
        <v>1</v>
      </c>
      <c r="D19" s="15" t="n">
        <f aca="false">구매목록!F200</f>
        <v>37940</v>
      </c>
      <c r="E19" s="29" t="n">
        <f aca="false">IF(구매목록!F214=0,0,D19/구매목록!F214)</f>
        <v>0.0334515688468378</v>
      </c>
    </row>
    <row r="20" customFormat="false" ht="15" hidden="false" customHeight="false" outlineLevel="0" collapsed="false">
      <c r="A20" s="12" t="n">
        <v>19</v>
      </c>
      <c r="B20" s="12" t="s">
        <v>657</v>
      </c>
      <c r="C20" s="12" t="n">
        <f aca="false">COUNTIFS(구매목록!I203,"O",구매목록!E203,"&lt;&gt;배송비")</f>
        <v>1</v>
      </c>
      <c r="D20" s="15" t="n">
        <f aca="false">구매목록!F204</f>
        <v>31000</v>
      </c>
      <c r="E20" s="29" t="n">
        <f aca="false">IF(구매목록!F214=0,0,D20/구매목록!F214)</f>
        <v>0.027332594471586</v>
      </c>
    </row>
    <row r="21" customFormat="false" ht="15" hidden="false" customHeight="false" outlineLevel="0" collapsed="false">
      <c r="A21" s="12" t="n">
        <v>20</v>
      </c>
      <c r="B21" s="12" t="s">
        <v>666</v>
      </c>
      <c r="C21" s="12" t="n">
        <f aca="false">COUNTIFS(구매목록!I207,"O",구매목록!E207,"&lt;&gt;배송비")</f>
        <v>1</v>
      </c>
      <c r="D21" s="15" t="n">
        <f aca="false">구매목록!F208</f>
        <v>79900</v>
      </c>
      <c r="E21" s="29" t="n">
        <f aca="false">IF(구매목록!F214=0,0,D21/구매목록!F214)</f>
        <v>0.0704475580090233</v>
      </c>
    </row>
    <row r="22" customFormat="false" ht="17.15" hidden="false" customHeight="false" outlineLevel="0" collapsed="false">
      <c r="B22" s="20" t="s">
        <v>673</v>
      </c>
      <c r="C22" s="0" t="n">
        <f aca="false">SUM(C2:C21)</f>
        <v>122</v>
      </c>
      <c r="D22" s="25" t="n">
        <f aca="false">SUM(D2:D21)</f>
        <v>1134177</v>
      </c>
      <c r="E22" s="30" t="n">
        <f aca="false">SUM(E2:E21)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2026-10-01T15:48:35Z</dcterms:created>
  <dc:creator>openpyxl</dc:creator>
  <dc:description/>
  <dc:language>en-US</dc:language>
  <cp:lastModifiedBy/>
  <dcterms:modified xsi:type="dcterms:W3CDTF">2026-10-01T15:48:35Z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