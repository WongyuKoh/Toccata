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구매목록" sheetId="1" state="visible" r:id="rId3"/>
    <sheet name="판매처 요약" sheetId="2" state="visible" r:id="rId4"/>
  </sheets>
  <definedNames>
    <definedName function="false" hidden="false" localSheetId="0" name="_xlnm.Print_Titles" vbProcedure="false">구매목록!$5:$5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<sst xmlns="http://schemas.openxmlformats.org/spreadsheetml/2006/main" count="833" uniqueCount="479">
  <si>
    <t xml:space="preserve">Toccata v3.2 구매 목록 — 절감 선택 적용본</t>
  </si>
  <si>
    <t xml:space="preserve">기준: 도면집 v10 절감안 탭 선택 코드(22개 부품 교체) · 가격은 2026-09-24~25 판매처 확인값(VAT·할인 반영, 원) · 구분: 기본 = 피아노에 들어가는 부품, 소모품 = 제작 중 쓰는 재료, 공구 = 제작용 공구</t>
  </si>
  <si>
    <t xml:space="preserve">사용법: 파란 글씨(단위당 가격·수량·구매 O/X)만 고친다. 사지 않을 줄은 구매 칸을 X로 바꾸면 소계·최종 금액에서 빠진다(줄이 회색으로 바뀜). 예상 가격 = 단위당 가격 × 수량. 배송비는 판매처마다 따로 한 줄로 넣었다.</t>
  </si>
  <si>
    <t xml:space="preserve">No</t>
  </si>
  <si>
    <t xml:space="preserve">부품명</t>
  </si>
  <si>
    <t xml:space="preserve">단위당 가격(원)</t>
  </si>
  <si>
    <t xml:space="preserve">수량</t>
  </si>
  <si>
    <t xml:space="preserve">용도</t>
  </si>
  <si>
    <t xml:space="preserve">예상 가격(원)</t>
  </si>
  <si>
    <t xml:space="preserve">구매 링크</t>
  </si>
  <si>
    <t xml:space="preserve">구분</t>
  </si>
  <si>
    <t xml:space="preserve">구매(O/X)</t>
  </si>
  <si>
    <t xml:space="preserve">판매자</t>
  </si>
  <si>
    <t xml:space="preserve">부품 코드</t>
  </si>
  <si>
    <t xml:space="preserve">비고</t>
  </si>
  <si>
    <t xml:space="preserve">■ 아이씨뱅큐</t>
  </si>
  <si>
    <t xml:space="preserve">Raspberry Pi 5 2GB (라즈베리파이 5 2GB Raspberry pi 5)</t>
  </si>
  <si>
    <t xml:space="preserve">FluidSynth 소프트웨어 신스를 돌리고 USB-MIDI 8개(O1~O7, PED) 입력을 한 곳에서 병합하는 중앙 컴퓨터. 소리는 USB 동글(L51)로 내보낸다(R25: HAT 없음, GPIO 배선 없음)</t>
  </si>
  <si>
    <t xml:space="preserve">https://www.icbanq.com/P016286897</t>
  </si>
  <si>
    <t xml:space="preserve">기본</t>
  </si>
  <si>
    <t xml:space="preserve">O</t>
  </si>
  <si>
    <t xml:space="preserve">아이씨뱅큐</t>
  </si>
  <si>
    <t xml:space="preserve">L01</t>
  </si>
  <si>
    <t xml:space="preserve">TI DRV5055A2QLPG (TO-92-3 Linear Hall Effect Sensor, LCSC 경유)</t>
  </si>
  <si>
    <t xml:space="preserve">건반마다 1개 + 예비 12. 표시면을 위로 눕혀 센서 바 포켓에 넣고 건반 밑 자석(Ø5×2)의 거리를 연속으로 잰다</t>
  </si>
  <si>
    <t xml:space="preserve">https://www.icbanq.com/P018076669</t>
  </si>
  <si>
    <t xml:space="preserve">아이씨뱅큐 (LCSC 해외 재고)</t>
  </si>
  <si>
    <t xml:space="preserve">L20</t>
  </si>
  <si>
    <t xml:space="preserve">XHHD 육각너트 M3 강철 (LCSC C133377)</t>
  </si>
  <si>
    <t xml:space="preserve">출력 육각 포켓·통로에 앉히는 암나사. 레일 클램프 4 + 척추 세트스크루 4 = 모듈당 8개, 끝 부속 7, 스피커 브래킷 4 → 67개 + 예비 8</t>
  </si>
  <si>
    <t xml:space="preserve">https://www.icbanq.com/P015976209</t>
  </si>
  <si>
    <t xml:space="preserve">L31</t>
  </si>
  <si>
    <t xml:space="preserve">Samsung CL31B104KCFNNNE (1206 100nF 100V X7R)</t>
  </si>
  <si>
    <t xml:space="preserve">센서마다 1개(3V3–GND 디커플링, 센서 기판 아랫면) + PED 보드</t>
  </si>
  <si>
    <t xml:space="preserve">https://www.icbanq.com/P014968846</t>
  </si>
  <si>
    <t xml:space="preserve">SE4</t>
  </si>
  <si>
    <t xml:space="preserve">삼성 CL31B104KCFNNNE(100 V). 판매처 사진이 안 열려 품번으로 확인</t>
  </si>
  <si>
    <t xml:space="preserve">핀헤더 소켓 1X40(2.54피치)</t>
  </si>
  <si>
    <t xml:space="preserve">끝 부속 EXT 1×6 암 커넥터 2개(6+1핀 ×2)용 1줄. 4067 모듈은 암 헤더 없이 제어 기판에 직접 납땜(SE7)</t>
  </si>
  <si>
    <t xml:space="preserve">https://www.icbanq.com/P014161879</t>
  </si>
  <si>
    <t xml:space="preserve">SE7</t>
  </si>
  <si>
    <t xml:space="preserve">핀헤더 1×40 - 2.54MM(S/T) _ 11.5MM(1단몰드)</t>
  </si>
  <si>
    <t xml:space="preserve">4067 모듈 7개 × (16+8)핀 = 168핀 + EXT 수 커넥터 12핀 = 180핀 → 1×40 5줄(200핀)</t>
  </si>
  <si>
    <t xml:space="preserve">https://www.icbanq.com/P005666127</t>
  </si>
  <si>
    <t xml:space="preserve">모듈에 수 헤더가 들어 있으면 줄여도 된다</t>
  </si>
  <si>
    <t xml:space="preserve">[BC256] Coms 스테레오 케이블 3M AUX 3극 Stereo 3.5 M/M 고급포장</t>
  </si>
  <si>
    <t xml:space="preserve">댐퍼 페달 신호선. 한쪽 플러그를 잘라 페달 안 홀센서에 납땜(팁 = 출력, 링 = 3V3, 슬리브 = GND)하고, 다른 쪽은 CU의 PJ-313 잭(L15의 두 번째)에 꽂는다</t>
  </si>
  <si>
    <t xml:space="preserve">https://www.icbanq.com/P004711396</t>
  </si>
  <si>
    <t xml:space="preserve">L50</t>
  </si>
  <si>
    <t xml:space="preserve">XH-A232 (HW-404) TPA3110 2채널 앰프 보드 (제노 HAM6104)</t>
  </si>
  <si>
    <t xml:space="preserve">좌우 스피커(L07)를 울리는 D급 앰프. 20 V 버스(PD 트리거 L57 → 퓨즈 → 스위치)에서 8 Ω 채널당 약 21 W. 입력은 CU 트레이의 앰프 입력 잭(L15 ③)에서 받는다</t>
  </si>
  <si>
    <t xml:space="preserve">https://www.icbanq.com/P017179248</t>
  </si>
  <si>
    <t xml:space="preserve">아이씨뱅큐 (제노)</t>
  </si>
  <si>
    <t xml:space="preserve">L53</t>
  </si>
  <si>
    <t xml:space="preserve">Monolithic Capacitor 1uF X7R 50V (리드형 적층 세라믹)</t>
  </si>
  <si>
    <t xml:space="preserve">앰프 입력의 저음 차단(고역 통과) 필터. 채널마다 1 µF 2개를 병렬(2 µF)로 직렬에 넣고 1 kΩ 풀다운(L29)과 묶어 약 80 Hz 아래를 6 dB/옥타브로 줄인다(D18)</t>
  </si>
  <si>
    <t xml:space="preserve">https://www.icbanq.com/P014159115</t>
  </si>
  <si>
    <t xml:space="preserve">아이씨뱅큐 (동신전자)</t>
  </si>
  <si>
    <t xml:space="preserve">L56</t>
  </si>
  <si>
    <t xml:space="preserve">100W QC PD 트리거 디코이 고정출력 모듈 5V-20V (HAM6113, HUSB238)</t>
  </si>
  <si>
    <t xml:space="preserve">피아노의 전원 입력(USB-C). 벽 충전기(L62)나 보조배터리와 PD로 협상해 20 V를 받아 퓨즈(L60) → 스위치(L59) → 20 V 버스로 보낸다. I/O 판 안쪽 포켓에 끼워 USB-C 구멍이 밖을 향한다(R28)</t>
  </si>
  <si>
    <t xml:space="preserve">https://www.icbanq.com/P017179277</t>
  </si>
  <si>
    <t xml:space="preserve">L57</t>
  </si>
  <si>
    <t xml:space="preserve">200W XL4016 DC-DC 강압 컨버터 모듈 IN 4-40V OUT 1.25-36V 5A (HAM6415, XH-M401)</t>
  </si>
  <si>
    <t xml:space="preserve">20 V 버스 → 5.1 V. Pi 5(USB-C 전원선 C24)와 USB 허브(L17, DC 잭)에 전원을 준다. Pi에는 이 5 V만 들어간다(D16). CU 트레이 보스에 M3×10(L34) 4개로 고정(R28)</t>
  </si>
  <si>
    <t xml:space="preserve">https://www.icbanq.com/P017179502</t>
  </si>
  <si>
    <t xml:space="preserve">L58</t>
  </si>
  <si>
    <t xml:space="preserve">순간접착제 (814-2010) — V-tech 강력 순간접착제 5g (VT-041)</t>
  </si>
  <si>
    <t xml:space="preserve">센서 자석 Ø5×2(L21)·뚜껑 자석 Ø8×3(L65)을 포켓에 압입한 뒤 한 방울(리프 근처 사용 금지)</t>
  </si>
  <si>
    <t xml:space="preserve">https://www.icbanq.com/P015309984</t>
  </si>
  <si>
    <t xml:space="preserve">소모품</t>
  </si>
  <si>
    <t xml:space="preserve">아이씨뱅큐 (크레텍)</t>
  </si>
  <si>
    <t xml:space="preserve">ME8</t>
  </si>
  <si>
    <t xml:space="preserve">록타이트 401 20 g 대신(ME8). 성분·점도 표기는 페이지에 없다</t>
  </si>
  <si>
    <t xml:space="preserve">배송비 — 아이씨뱅큐</t>
  </si>
  <si>
    <t xml:space="preserve">배송비</t>
  </si>
  <si>
    <t xml:space="preserve">자동 계산: 공급가(VAT 제외) 5만원 미만이면 2,700원, 이상이면 무료</t>
  </si>
  <si>
    <t xml:space="preserve">아이씨뱅큐 소계</t>
  </si>
  <si>
    <t xml:space="preserve">■ 엘레파츠</t>
  </si>
  <si>
    <t xml:space="preserve">[화성고무] 피스고무발 / 28x5 (RUB-E2)</t>
  </si>
  <si>
    <t xml:space="preserve">스피커 파트 2개(각 4개)와 가운데 유닛(6개)의 고무발 14개. 출력 받침 4 mm와 함께 뒷바를 22 mm 띄워 아래 앞쪽을 케이블 통로로 만든다(R27). 본체와 스피커 진동을 떼어 놓는다(D15)</t>
  </si>
  <si>
    <t xml:space="preserve">https://www.eleparts.co.kr/goods/view?no=16628292</t>
  </si>
  <si>
    <t xml:space="preserve">엘레파츠</t>
  </si>
  <si>
    <t xml:space="preserve">L14</t>
  </si>
  <si>
    <t xml:space="preserve">[BSUN] PJ-313 3.5Ф 스테레오잭 (이어폰잭)</t>
  </si>
  <si>
    <t xml:space="preserve">① 왼쪽 볼 앞면 헤드폰 잭: 동글(L51) 출력이 팁·링으로 들어오고 팁·링 노멀 접점이 앰프 쪽으로 나간다. 헤드폰을 꽂으면 노멀 접점이 떨어져 스피커가 기계적으로 끊긴다(R15) ② I/O 판의 댐퍼 페달 잭(R24) ③ CU 트레이의 앰프 입력 잭: 선 ②의 플러그를 받아 저음 차단 RC를 거쳐 앰프(L53) 입력으로 보낸다(R26, 파트 분리)</t>
  </si>
  <si>
    <t xml:space="preserve">https://www.eleparts.co.kr/goods/view?no=67811</t>
  </si>
  <si>
    <t xml:space="preserve">L15</t>
  </si>
  <si>
    <t xml:space="preserve">[ABCO] CFR 1/4W 5% 탄소피막 저항 1kΩ (10개 단위)</t>
  </si>
  <si>
    <t xml:space="preserve">앰프 입력 풀다운 겸 저음 차단 필터(1 kΩ ×2), 필요하면 입력 감쇠(직렬 1 kΩ ×2), 페달 입력 직렬 1 kΩ</t>
  </si>
  <si>
    <t xml:space="preserve">https://www.eleparts.co.kr/goods/view?no=10911</t>
  </si>
  <si>
    <t xml:space="preserve">L29</t>
  </si>
  <si>
    <t xml:space="preserve">10개 단위 판매(M.O.Q 10)</t>
  </si>
  <si>
    <t xml:space="preserve">[ABCO] CFR 1/4W 5% 탄소피막 저항 10kΩ (10개 단위)</t>
  </si>
  <si>
    <t xml:space="preserve">예비(R25로 헤드폰 감지 회로가 빠져 설계상 필수는 아니다)</t>
  </si>
  <si>
    <t xml:space="preserve">https://www.eleparts.co.kr/goods/view?no=10951</t>
  </si>
  <si>
    <t xml:space="preserve">[ABCO] CFR 1/4W 5% 탄소피막 저항 100kΩ (10개 단위)</t>
  </si>
  <si>
    <t xml:space="preserve">페달 입력 풀다운 100 kΩ</t>
  </si>
  <si>
    <t xml:space="preserve">https://www.eleparts.co.kr/goods/view?no=10993</t>
  </si>
  <si>
    <t xml:space="preserve">[ABCO] CFR 1/4W 5% 탄소피막 저항 100Ω (10개 단위)</t>
  </si>
  <si>
    <t xml:space="preserve">예비·시험용</t>
  </si>
  <si>
    <t xml:space="preserve">https://www.eleparts.co.kr/goods/view?no=10873</t>
  </si>
  <si>
    <t xml:space="preserve">[Coms] IH190 USB-C(F) → USB-A(M) 변환 젠더 좌향 꺾임</t>
  </si>
  <si>
    <t xml:space="preserve">Apple 동글(USB-C 수)을 Pi 5 USB-A 포트에 꽂는 젠더</t>
  </si>
  <si>
    <t xml:space="preserve">https://www.eleparts.co.kr/goods/view?no=11043038</t>
  </si>
  <si>
    <t xml:space="preserve">L52</t>
  </si>
  <si>
    <t xml:space="preserve">[ZX Electronics] KCD1-101A BLACK I/O 로커 스위치 (2P ON-OFF, 6A 250VAC / 10A 125VAC)</t>
  </si>
  <si>
    <t xml:space="preserve">피아노 전원 스위치. PD 트리거·퓨즈 뒤 20 V 쪽에 넣어 앰프와 강압 모듈을 함께 켜고 끈다. I/O 판의 출력 구멍에 끼운다(스냅인, R28)</t>
  </si>
  <si>
    <t xml:space="preserve">https://www.eleparts.co.kr/goods/view?no=32569</t>
  </si>
  <si>
    <t xml:space="preserve">L59</t>
  </si>
  <si>
    <t xml:space="preserve">[Coms] BU914 원형 휴즈 홀더 (5×20 mm, 인라인)</t>
  </si>
  <si>
    <t xml:space="preserve">20 V 버스 보호 퓨즈 홀더. PD 트리거 출력 + 선에 끼워 배선 단락 때 선이 타지 않게 한다</t>
  </si>
  <si>
    <t xml:space="preserve">https://www.eleparts.co.kr/goods/view?no=3237821</t>
  </si>
  <si>
    <t xml:space="preserve">L60</t>
  </si>
  <si>
    <t xml:space="preserve">[LITTELFUSE] 0218005.MXP 5 A 지연형 퓨즈 5×20 mm</t>
  </si>
  <si>
    <t xml:space="preserve">홀더에 넣는 5 A 지연형 퓨즈 1개 + 예비 4개(R28)</t>
  </si>
  <si>
    <t xml:space="preserve">https://www.eleparts.co.kr/goods/view?no=12766820</t>
  </si>
  <si>
    <t xml:space="preserve">최소 5개</t>
  </si>
  <si>
    <t xml:space="preserve">[AMASS] XT30U-M 수 커넥터 18AWG 10cm 실리콘 와이어</t>
  </si>
  <si>
    <t xml:space="preserve">앰프 쪽 스피커선 커넥터(좌우 2개). 통로 양 끝으로 나온 선에 납땜</t>
  </si>
  <si>
    <t xml:space="preserve">https://www.eleparts.co.kr/goods/view?no=12779720</t>
  </si>
  <si>
    <t xml:space="preserve">L61</t>
  </si>
  <si>
    <t xml:space="preserve">[AMASS] XT30U-F 암 커넥터 18AWG 10cm 실리콘 와이어</t>
  </si>
  <si>
    <t xml:space="preserve">스피커 쪽 커넥터(좌우 2개). 스피커 파트 앞판 아래로 나온 선에 납땜</t>
  </si>
  <si>
    <t xml:space="preserve">https://www.eleparts.co.kr/goods/view?no=12779721</t>
  </si>
  <si>
    <t xml:space="preserve">[NA993] Coms USB 3.1 Type C 케이블 1M USB 2.0 A to C타입 White</t>
  </si>
  <si>
    <t xml:space="preserve">모듈 7개 + PED 보드 → 허브 USB 8가닥. 허브에 꽂힌 채 뒷바 아래 케이블 통로에 두고, 설치 때 모듈 쪽만 꽂는다(R27). 몰드 ≤12.5×7.5×25라 통로(높이 22)에 들어간다</t>
  </si>
  <si>
    <t xml:space="preserve">https://www.eleparts.co.kr/goods/view?no=4313490</t>
  </si>
  <si>
    <t xml:space="preserve">C04</t>
  </si>
  <si>
    <t xml:space="preserve">[EUNSUNG] Flat Data Cable 2651-16P (1m단위)</t>
  </si>
  <si>
    <t xml:space="preserve">센서 기판 → 제어 기판 리본(OUT 12 + 3V3 + GND, 약 180mm ×7), O1·O7 EXT 6심 연장선, 끝 부속 선</t>
  </si>
  <si>
    <t xml:space="preserve">https://www.eleparts.co.kr/goods/view?no=425</t>
  </si>
  <si>
    <t xml:space="preserve">C05</t>
  </si>
  <si>
    <t xml:space="preserve">점퍼 단선 대신 리본 가닥으로: 센서 기판 3V3·GND 버스, 제어 기판 링크(SIG·S0~S3·EN), ID 브리지, 기판 배선(듀폰 점퍼 X1 대체)</t>
  </si>
  <si>
    <t xml:space="preserve">SE12</t>
  </si>
  <si>
    <t xml:space="preserve">C05와 같은 품목을 1 m 더 산다. 주문 때 C05와 합쳐 3 m로 담아도 된다</t>
  </si>
  <si>
    <t xml:space="preserve">[엘레파츠] 열수축튜브 530세트 - 프라스틱케이스</t>
  </si>
  <si>
    <t xml:space="preserve">EXT 헤더 커넥터, 선 이음, 페달 잭 뒤쪽 절연</t>
  </si>
  <si>
    <t xml:space="preserve">https://www.eleparts.co.kr/goods/view?no=8170311</t>
  </si>
  <si>
    <t xml:space="preserve">C10</t>
  </si>
  <si>
    <t xml:space="preserve">[KzPton] 캡톤테이프 10mm폭x33m</t>
  </si>
  <si>
    <t xml:space="preserve">RP2040-Zero 아래 절연(캡톤 1장), 기판 아랫면 절연</t>
  </si>
  <si>
    <t xml:space="preserve">https://www.eleparts.co.kr/goods/view?no=557</t>
  </si>
  <si>
    <t xml:space="preserve">C11</t>
  </si>
  <si>
    <t xml:space="preserve">티테크놀로지 케이블타이, 100개 [소/100mm] [블랙] [T-C2510B]</t>
  </si>
  <si>
    <t xml:space="preserve">USB 케이블을 뒷벽 고리에 묶어 당김 방지, EXT 커넥터 고정 · 케이블 통로 안 USB 8가닥 묶음(R27)</t>
  </si>
  <si>
    <t xml:space="preserve">https://www.eleparts.co.kr/goods/view?no=9100003</t>
  </si>
  <si>
    <t xml:space="preserve">C12</t>
  </si>
  <si>
    <t xml:space="preserve">[케이블스토어] 프리즘 국산 스피커케이블 50C 16AWG, 7M [블랙/PRS-50B07]</t>
  </si>
  <si>
    <t xml:space="preserve">앰프(L53) → 통로 → XT30 수(L61) 2쌍(좌우 각 약 0.6 m) + 스피커 파트 안 유닛 → XT30 암(각 약 0.3 m) + 20 V 전원선(PD 트리거 → 퓨즈 → 스위치 → 앰프·강압 모듈, 약 1 m)</t>
  </si>
  <si>
    <t xml:space="preserve">https://www.eleparts.co.kr/goods/view?no=18388615</t>
  </si>
  <si>
    <t xml:space="preserve">C13</t>
  </si>
  <si>
    <t xml:space="preserve">[AV0176] Coms 스테레오 케이블 1.5M AUX 3극 Stereo 3.5 M/M</t>
  </si>
  <si>
    <t xml:space="preserve">① 동글(L51) → 왼쪽 볼 헤드폰 잭(L15 ①) ② 헤드폰 잭 노멀 접점 → CU 트레이 앰프 입력 잭(L15 ③). 두 선 모두 CU 쪽 플러그를 남기고 끝 부속 쪽을 잘라 잭에 납땜한다(선이 끝 부속에 붙어 다니고 CU에서 뽑는다, R26)</t>
  </si>
  <si>
    <t xml:space="preserve">https://www.eleparts.co.kr/goods/view?no=2925673</t>
  </si>
  <si>
    <t xml:space="preserve">C14</t>
  </si>
  <si>
    <t xml:space="preserve">[MachLink] USB-C to C PD 60W 초고속충전 케이블, ML-CPD606 [블랙/0.6m]</t>
  </si>
  <si>
    <t xml:space="preserve">보조배터리 → 피아노 USB-C 입력. 보조배터리 칸에서 낮은 칸막이 위 → CU 칸 → I/O 판 선 통과 구멍으로 빼서 입력(L57)에 꽂는다(R28)</t>
  </si>
  <si>
    <t xml:space="preserve">https://www.eleparts.co.kr/goods/view?no=17806172</t>
  </si>
  <si>
    <t xml:space="preserve">C22</t>
  </si>
  <si>
    <t xml:space="preserve">[MachLink] USB-C to C PD 60W 초고속충전 케이블, ML-CPD62 [블랙/2m]</t>
  </si>
  <si>
    <t xml:space="preserve">벽 충전기(L62) → 피아노 USB-C 입력(L57). 제작 중에는 인두(T01) 전원선으로도 쓴다(R28)</t>
  </si>
  <si>
    <t xml:space="preserve">https://www.eleparts.co.kr/goods/view?no=17806170</t>
  </si>
  <si>
    <t xml:space="preserve">C23</t>
  </si>
  <si>
    <t xml:space="preserve">[MAXTEK] 맥스텍 USB C타입 제작용 케이블 2선 Type-C Male(숫) DIY PD 전원 [MT666]</t>
  </si>
  <si>
    <t xml:space="preserve">5.1 V 강압 모듈(L58) 출력 → Pi 5 USB-C 전원 입력. 벗겨진 두 선(빨강 +, 검정 −)을 강압 모듈 출력 단자에 물린다(R28)</t>
  </si>
  <si>
    <t xml:space="preserve">https://www.eleparts.co.kr/goods/view?no=17358965</t>
  </si>
  <si>
    <t xml:space="preserve">C24</t>
  </si>
  <si>
    <t xml:space="preserve">[NAVI] 종이 양면테이프, 백색/48mm/6m</t>
  </si>
  <si>
    <t xml:space="preserve">EVA 바닥 시트와 비접착 3T 펠트를 프레임에 붙인다</t>
  </si>
  <si>
    <t xml:space="preserve">https://www.eleparts.co.kr/goods/view?no=17897439</t>
  </si>
  <si>
    <t xml:space="preserve">ME9</t>
  </si>
  <si>
    <t xml:space="preserve">2롤 → 1롤(ME9)</t>
  </si>
  <si>
    <t xml:space="preserve">[YUN FANG] 유연납 0.8mm 50g</t>
  </si>
  <si>
    <t xml:space="preserve">모듈당 약 200점, 전체 약 1,500점 손 납땜. 코어 플럭스만 쓴다(플럭스 펜 생략, CT22)</t>
  </si>
  <si>
    <t xml:space="preserve">https://www.eleparts.co.kr/goods/view?no=12755646</t>
  </si>
  <si>
    <t xml:space="preserve">CT5</t>
  </si>
  <si>
    <t xml:space="preserve">모자라면 같은 상품을 더 산다(이 주문에 함께 넣으면 배송비 없음)</t>
  </si>
  <si>
    <t xml:space="preserve">[Coms] [NT117] Coms 디지털 테스트기 (DT-832, 9개 항목)</t>
  </si>
  <si>
    <t xml:space="preserve">페달 T–R–S 저항 측정, 잭 핀 확인, 통전 검사, 허브 역급전(Pi 5V 핀 0V) 확인</t>
  </si>
  <si>
    <t xml:space="preserve">https://www.eleparts.co.kr/goods/view?no=6779159</t>
  </si>
  <si>
    <t xml:space="preserve">공구</t>
  </si>
  <si>
    <t xml:space="preserve">CT11</t>
  </si>
  <si>
    <t xml:space="preserve">[Prokit] [CP-301G] PROKIT 정밀 스트리퍼</t>
  </si>
  <si>
    <t xml:space="preserve">리본·단선·점퍼선 등 가는 선(AWG 20~30) 피복 벗기기</t>
  </si>
  <si>
    <t xml:space="preserve">https://www.eleparts.co.kr/goods/view?no=3787704</t>
  </si>
  <si>
    <t xml:space="preserve">CT21</t>
  </si>
  <si>
    <t xml:space="preserve">[JAKEMY] JM-CT2-2 5인치 니퍼</t>
  </si>
  <si>
    <t xml:space="preserve">센서 리드·헤더 핀 자르기, 출력물 다듬기. 16AWG 스피커선 피복도 니퍼 날로 칼집을 내 벗긴다(CT16)</t>
  </si>
  <si>
    <t xml:space="preserve">https://www.eleparts.co.kr/goods/view?no=7663472</t>
  </si>
  <si>
    <t xml:space="preserve">CT13</t>
  </si>
  <si>
    <t xml:space="preserve">[블루텍] 버니어캘리퍼(경제형) NA530-200 (200×0.05)</t>
  </si>
  <si>
    <t xml:space="preserve">리프 두께·훅 높이·164.5 수축 시편·세트스크루 돌출(1.5±0.05)·펠트 두께 측정</t>
  </si>
  <si>
    <t xml:space="preserve">https://www.eleparts.co.kr/goods/view?no=16549359</t>
  </si>
  <si>
    <t xml:space="preserve">CT12</t>
  </si>
  <si>
    <t xml:space="preserve">배송비 — 엘레파츠</t>
  </si>
  <si>
    <t xml:space="preserve">자동 계산: 공급가(VAT 제외) 6만원 미만이면 3,000원, 이상이면 무료</t>
  </si>
  <si>
    <t xml:space="preserve">엘레파츠 소계</t>
  </si>
  <si>
    <t xml:space="preserve">■ 11번가</t>
  </si>
  <si>
    <t xml:space="preserve">삼미스피커(SAAT) CW-100B25 4인치 풀레인지 8Ω 25W (KS 인증)</t>
  </si>
  <si>
    <t xml:space="preserve">좌우 스피커 유닛 2개(R25: 서브 없음). 스피커 파트(오꾸메 밀폐 상자, 내부 5.05 L)의 출력 앞판에 끼워 연주자 쪽을 향하게 한다. 앰프(L53)가 채널당 약 21 W(20 V)를 준다</t>
  </si>
  <si>
    <t xml:space="preserve">https://www.11st.co.kr/products/1565354988</t>
  </si>
  <si>
    <t xml:space="preserve">세운상가새한음향</t>
  </si>
  <si>
    <t xml:space="preserve">L07</t>
  </si>
  <si>
    <t xml:space="preserve">두유레디 구름솜 300g (100% 국내산 할로우화이버)</t>
  </si>
  <si>
    <t xml:space="preserve">밀폐 스피커 상자 2개의 흡음재(상자당 40~60 g, 폴리필 대용)</t>
  </si>
  <si>
    <t xml:space="preserve">https://www.11st.co.kr/products/2325598213</t>
  </si>
  <si>
    <t xml:space="preserve">두유레디</t>
  </si>
  <si>
    <t xml:space="preserve">L12</t>
  </si>
  <si>
    <t xml:space="preserve">에바폼 EVA 컬러 고밀도 칼라스펀지 3T (E-210 검정, 330×490)</t>
  </si>
  <si>
    <t xml:space="preserve">모듈 7개·끝 부속 2개 바닥 전체에 붙이는 3T 시트(164×211 한 장씩). 남는 조각은 스피커 유닛 가스켓과 가운데 유닛 ↔ 스피커 파트 맞닿는 면의 띠(R26)</t>
  </si>
  <si>
    <t xml:space="preserve">https://www.11st.co.kr/products/7591566666</t>
  </si>
  <si>
    <t xml:space="preserve">상우아트</t>
  </si>
  <si>
    <t xml:space="preserve">MEV1</t>
  </si>
  <si>
    <t xml:space="preserve">상우아트 묶음배송</t>
  </si>
  <si>
    <t xml:space="preserve">[대원] 얇은 칼라펠트지 H 두께0.5mm 접착 30x45cm (H-20 검정)</t>
  </si>
  <si>
    <t xml:space="preserve">가이드 탭 양옆 부싱(0.5T, 모듈당 24조각)과, 2겹으로 겹친 뒤 스톱 펠트(1T, y138~144)</t>
  </si>
  <si>
    <t xml:space="preserve">https://www.11st.co.kr/products/8517880969</t>
  </si>
  <si>
    <t xml:space="preserve">EVA와 같은 판매자라 묶음배송</t>
  </si>
  <si>
    <t xml:space="preserve">스텐 유두 렌치볼트 M3 × 40mm (SUS304)</t>
  </si>
  <si>
    <t xml:space="preserve">백건·흑건 척추를 레일 너트에 함께 조이는 클램프 나사(모듈당 4, 끝 부속 2씩). 굿나잇몰 묶음배송 3,500원을 이 줄에 넣었다</t>
  </si>
  <si>
    <t xml:space="preserve">https://www.11st.co.kr/products/4236198413</t>
  </si>
  <si>
    <t xml:space="preserve">굿나잇몰</t>
  </si>
  <si>
    <t xml:space="preserve">L32</t>
  </si>
  <si>
    <t xml:space="preserve">스텐 무두 렌치볼트 M3 × 10mm (평끝 세트스크루)</t>
  </si>
  <si>
    <t xml:space="preserve">백건·흑건 척추의 무게 조절 세트스크루(모듈당 4, 끝 부속 3). 1/8회전 = 백 2.4 g / 흑 1.8 g</t>
  </si>
  <si>
    <t xml:space="preserve">L33</t>
  </si>
  <si>
    <t xml:space="preserve">스텐 유두 렌치볼트 M3 × 10mm</t>
  </si>
  <si>
    <t xml:space="preserve">센서 바·센서 기판을 왼쪽 받침 기둥에 고정(모듈당 2, 끝 부속 포함)하고, CU 트레이 부품(앰프 4·강압 모듈 4·PD 트리거 2·앰프 입력 잭 기판 2·퓨즈 홀더 2)과 토글 래치 2개(각 4, L64)를 출력 보스·받침에 고정한다. PETG 구멍에 직접 탭을 내며 조인다</t>
  </si>
  <si>
    <t xml:space="preserve">L34</t>
  </si>
  <si>
    <t xml:space="preserve">스텐 유두 렌치볼트 M3 × 6mm</t>
  </si>
  <si>
    <t xml:space="preserve">제어 기판을 출력 스탠드오프에 고정 — 대각 2곳만 나사, 나머지 2곳은 출력 위치 핀(v3.2)</t>
  </si>
  <si>
    <t xml:space="preserve">L35</t>
  </si>
  <si>
    <t xml:space="preserve">스텐 와셔 M4x9x0.5T</t>
  </si>
  <si>
    <t xml:space="preserve">클램프 나사 머리 아래 Ø9 와셔(흑건 척추 카운터보어 Ø9.5×1.0 안, 32개) + 고무발 고정 피스 와셔(14개, R26)</t>
  </si>
  <si>
    <t xml:space="preserve">L36</t>
  </si>
  <si>
    <t xml:space="preserve">스텐 유두 렌치볼트 M2.5 × 6mm</t>
  </si>
  <si>
    <t xml:space="preserve">Pi 5를 CU 트레이의 출력 보스 4개(Ø2.2 탭 구멍)에 바로 조이는 나사(4개 + 예비 2). R26으로 황동 스탠드오프(L37)가 빠졌다(비용 절감안 CP7)</t>
  </si>
  <si>
    <t xml:space="preserve">L47</t>
  </si>
  <si>
    <t xml:space="preserve">스텐 둥근머리 직결피스 8호(Ø4.2) 13mm</t>
  </si>
  <si>
    <t xml:space="preserve">뒷바 출력 부품(도브테일 블록·CU 트레이·I/O 판·보조배터리 받침·콤 받침·XT30 받침)을 합판 면에 고정</t>
  </si>
  <si>
    <t xml:space="preserve">https://www.11st.co.kr/products/4353471537</t>
  </si>
  <si>
    <t xml:space="preserve">L49</t>
  </si>
  <si>
    <t xml:space="preserve">같은 상품의 옵션. 굿나잇몰 묶음배송(주문 화면에서 묶음 여부 확인)</t>
  </si>
  <si>
    <t xml:space="preserve">스텐 둥근머리 직결피스 8호(Ø4.2) 16mm</t>
  </si>
  <si>
    <t xml:space="preserve">CW-100B25 유닛 8홀을 PETG 앞판에 고정</t>
  </si>
  <si>
    <t xml:space="preserve">스텐 둥근머리 직결피스 8호(Ø4.2) 19mm</t>
  </si>
  <si>
    <t xml:space="preserve">PETG 그릴 8곳 고정</t>
  </si>
  <si>
    <t xml:space="preserve">스텐 둥근머리 직결피스 8호(Ø4.2) 25mm</t>
  </si>
  <si>
    <t xml:space="preserve">고무발 14개 고정</t>
  </si>
  <si>
    <t xml:space="preserve">텅스텐 퍼티 소프트 싱커 무게추 (낚시용, 22 g)</t>
  </si>
  <si>
    <t xml:space="preserve">무거운 건반만 낮추는 건반별 무게 미세 조정(필요할 때만, 백 ≤6 g·흑 ≤2.5 g)</t>
  </si>
  <si>
    <t xml:space="preserve">https://www.11st.co.kr/products/9579455646</t>
  </si>
  <si>
    <t xml:space="preserve">골드그로브</t>
  </si>
  <si>
    <t xml:space="preserve">ME14</t>
  </si>
  <si>
    <t xml:space="preserve">오공 201 205 본드 800g 목공용본드 (옵션: 오공 205본드 800g)</t>
  </si>
  <si>
    <t xml:space="preserve">스피커 상자 2개(5.05 L ×2)와 가운데 유닛(오꾸메 11장) 접합, 출력 앞판 둘레 밀봉. 합판은 본드로만 붙이고 마스킹테이프로 눌러 굳힌다(드릴 없음)</t>
  </si>
  <si>
    <t xml:space="preserve">https://www.11st.co.kr/products/1874655675</t>
  </si>
  <si>
    <t xml:space="preserve">오공 본드 판매처</t>
  </si>
  <si>
    <t xml:space="preserve">SP6</t>
  </si>
  <si>
    <t xml:space="preserve">옵션에서 "오공 205본드 800g"을 고른다(201은 다른 제품)</t>
  </si>
  <si>
    <t xml:space="preserve">육각 렌치 1.5mm (볼트 상품 옵션)</t>
  </si>
  <si>
    <t xml:space="preserve">세트스크루 무게 조절(위에서 Ø3.2 구멍으로)</t>
  </si>
  <si>
    <t xml:space="preserve">T11</t>
  </si>
  <si>
    <t xml:space="preserve">육각 렌치 2.5mm (볼트 상품 옵션)</t>
  </si>
  <si>
    <t xml:space="preserve">M3 렌치볼트 조이기</t>
  </si>
  <si>
    <t xml:space="preserve">배송비 — 세운상가새한음향</t>
  </si>
  <si>
    <t xml:space="preserve">도면집 부품표 값</t>
  </si>
  <si>
    <t xml:space="preserve">배송비 — 두유레디</t>
  </si>
  <si>
    <t xml:space="preserve">배송비 — 상우아트</t>
  </si>
  <si>
    <t xml:space="preserve">도면집 부품표 값 (묶음배송 1회분)</t>
  </si>
  <si>
    <t xml:space="preserve">배송비 — 오공 본드 판매처</t>
  </si>
  <si>
    <t xml:space="preserve">배송비 — 굿나잇몰</t>
  </si>
  <si>
    <t xml:space="preserve">11번가 소계</t>
  </si>
  <si>
    <t xml:space="preserve">■ 메카솔루션</t>
  </si>
  <si>
    <t xml:space="preserve">라즈베리파이5 방열판 / 5B 전용 / 알루미늄 (4개 세트)</t>
  </si>
  <si>
    <t xml:space="preserve">SoC·메모리·RP1·이더넷 칩의 열을 뺀다. 팬 없는 저높이 스티커형(R25 이후 위에 HAT이 없어 높이 제한도 없다)</t>
  </si>
  <si>
    <t xml:space="preserve">https://www.mechasolution.com/goods/goods_view.php?goodsNo=605179</t>
  </si>
  <si>
    <t xml:space="preserve">메카솔루션</t>
  </si>
  <si>
    <t xml:space="preserve">L02</t>
  </si>
  <si>
    <t xml:space="preserve">PCB기판/양면기판/에폭시/프로토보드 (12x18cm)</t>
  </si>
  <si>
    <t xml:space="preserve">센서 기판(162×15.24mm, 6행) 띠를 잘라 낸다. 1장에서 약 6띠 → 2장으로 모듈 7개 + 끝 부속 2개분</t>
  </si>
  <si>
    <t xml:space="preserve">https://www.mechasolution.com/goods/goods_view.php?goodsNo=540645</t>
  </si>
  <si>
    <t xml:space="preserve">L22</t>
  </si>
  <si>
    <t xml:space="preserve">PCB기판/양면기판/에폭시/프로토보드 (5x7cm)</t>
  </si>
  <si>
    <t xml:space="preserve">모듈 제어 기판(RP2040-Zero + 4067) 7장 + PED 보드 1장. 자투리는 PJ-313 받침</t>
  </si>
  <si>
    <t xml:space="preserve">https://www.mechasolution.com/goods/goods_view.php?goodsNo=329798</t>
  </si>
  <si>
    <t xml:space="preserve">SE8</t>
  </si>
  <si>
    <t xml:space="preserve">L02·L22와 같은 주문</t>
  </si>
  <si>
    <t xml:space="preserve">배송비 — 메카솔루션</t>
  </si>
  <si>
    <t xml:space="preserve">메카솔루션 소계</t>
  </si>
  <si>
    <t xml:space="preserve">■ 파츠파츠 직영몰</t>
  </si>
  <si>
    <t xml:space="preserve">(PP-A799-2) 라즈베리 파이 피코 PICO RP2040-ZERO</t>
  </si>
  <si>
    <t xml:space="preserve">모듈마다 1개(O1~O7) + 페달 보드 1개, 예비 없음. 4067 먹스를 스캔해 속도를 계산하고 USB-MIDI 장치('Toccata O1'~'O7', 'Toccata PED')가 된다. 캐스털레이션으로 제어 기판에 직접 납땜</t>
  </si>
  <si>
    <t xml:space="preserve">https://parts-parts.co.kr/product/detail.html?product_no=2383</t>
  </si>
  <si>
    <t xml:space="preserve">파츠파츠 (동신전자)</t>
  </si>
  <si>
    <t xml:space="preserve">SEV2</t>
  </si>
  <si>
    <t xml:space="preserve">예비 없음(SEV2)</t>
  </si>
  <si>
    <t xml:space="preserve">(PP-A324) 16채널 아날로그/디지털 멀티플렉서 모듈</t>
  </si>
  <si>
    <t xml:space="preserve">모듈마다 1개, 예비 없음. 홀센서 12개(C0~C11)와 끝 부속 EXT 4채널(C12~C15)을 RP2040 ADC 한 채널로 읽는다; 제어 기판에 직접 납땜(SE7)</t>
  </si>
  <si>
    <t xml:space="preserve">https://parts-parts.co.kr/product/detail.html?product_no=303</t>
  </si>
  <si>
    <t xml:space="preserve">합배송</t>
  </si>
  <si>
    <t xml:space="preserve">배송비 — 파츠파츠 (동신전자)</t>
  </si>
  <si>
    <t xml:space="preserve">파츠파츠 직영몰 소계</t>
  </si>
  <si>
    <t xml:space="preserve">■ Bambu Lab KR 공식 스토어</t>
  </si>
  <si>
    <t xml:space="preserve">Bambu Lab PETG Basic 화이트(30106) 스풀 포함 1kg</t>
  </si>
  <si>
    <t xml:space="preserve">백건 콤 7개 + 끝 부속 백건 콤 + 흰색 리프 쿠폰 + 센서 바(남는 흰색으로)</t>
  </si>
  <si>
    <t xml:space="preserve">https://kr.store.bambulab.com/products/petg-basic</t>
  </si>
  <si>
    <t xml:space="preserve">Bambu Lab</t>
  </si>
  <si>
    <t xml:space="preserve">CT2</t>
  </si>
  <si>
    <t xml:space="preserve">4개 이상 구매 시 15% 할인가</t>
  </si>
  <si>
    <t xml:space="preserve">Bambu Lab PETG Basic 화이트(30106) 리필 1kg</t>
  </si>
  <si>
    <t xml:space="preserve">흰색 두 번째 1 kg. 첫 흰색 스풀을 다 쓴 뒤 그 스풀에 끼운다</t>
  </si>
  <si>
    <t xml:space="preserve">Bambu Lab PETG Basic 블랙(30105) 스풀 포함 1kg</t>
  </si>
  <si>
    <t xml:space="preserve">흑건 콤·A#0 콤·흑색 리프 쿠폰·방진 브래킷 + 프레임 7개·끝 부속·뒤 커버·스피커 앞판·CU 트레이·I/O 판·뒷바 받침(R26) + 시편</t>
  </si>
  <si>
    <t xml:space="preserve">검정 리필은 품절이라 스풀 포함. 4개 이상 15% 할인가</t>
  </si>
  <si>
    <t xml:space="preserve">Bambu Lab PETG Basic 스풀 포함 1kg 추가 (흰색 또는 검정)</t>
  </si>
  <si>
    <t xml:space="preserve">R26 출력물 증가분(가운데 유닛 부품, 보관함 등) — 도면집 자동 보정 항목</t>
  </si>
  <si>
    <t xml:space="preserve">CT2+</t>
  </si>
  <si>
    <t xml:space="preserve">색은 출력 순서를 보고 정한다. 동전 받침(CT15)도 여기서 출력</t>
  </si>
  <si>
    <t xml:space="preserve">배송비 — Bambu Lab</t>
  </si>
  <si>
    <t xml:space="preserve">자동 계산: 7만원 이상 무료배송(미만 3,000원 가정). 15% 할인은 4개 이상 구매 조건</t>
  </si>
  <si>
    <t xml:space="preserve">Bambu Lab KR 공식 스토어 소계</t>
  </si>
  <si>
    <t xml:space="preserve">■ 다나와 (최저가 판매처)</t>
  </si>
  <si>
    <t xml:space="preserve">SanDisk micro SD Ultra 2022 32GB (SDSQUA4-032G-GN6MA)</t>
  </si>
  <si>
    <t xml:space="preserve">Raspberry Pi OS Lite, FluidSynth, Salamander 음원(SF2 296MB)을 담는 부팅 카드</t>
  </si>
  <si>
    <t xml:space="preserve">https://prod.danawa.com/info/?pcode=20358155</t>
  </si>
  <si>
    <t xml:space="preserve">다나와 최저가 판매처</t>
  </si>
  <si>
    <t xml:space="preserve">L03</t>
  </si>
  <si>
    <t xml:space="preserve">다나와에서 최저가 판매처로 이동해 구매. 판매처·가격이 바뀔 수 있다</t>
  </si>
  <si>
    <t xml:space="preserve">이지넷유비쿼터스 NEXTU 유우젠 710U3 (10포트/USB 3.0, 유전원)</t>
  </si>
  <si>
    <t xml:space="preserve">모듈 7개 + PED의 USB-MIDI를 Pi 5 USB 한 포트로 모은다. 전원은 본체 5.1 V 강압 모듈(L58)에서 DC 잭으로 받는다(허브에 딸린 5 V 3 A 어댑터 선을 잘라 플러그 쪽을 쓴다). 길이 228 mm라 CU 칸(안폭 189)이 아니라 보조배터리 칸 뒤 벽에 둔다(R26·R28)</t>
  </si>
  <si>
    <t xml:space="preserve">https://prod.danawa.com/info/?pcode=29865749</t>
  </si>
  <si>
    <t xml:space="preserve">다나와 최저가 (쿠팡 로켓배송)</t>
  </si>
  <si>
    <t xml:space="preserve">L17</t>
  </si>
  <si>
    <t xml:space="preserve">다나와에서 최저가 판매처로 이동해 구매</t>
  </si>
  <si>
    <t xml:space="preserve">파워마스터 PD PPS 65W 3포트 GaN 접지형 충전기 PG65PDG2C1A (케이블미포함)</t>
  </si>
  <si>
    <t xml:space="preserve">벽 전원. 피아노 I/O 판의 USB-C 입력(L57)에 2 m C-C 선(C23)으로 잇는다. C1 또는 C2 포트 하나만 쓴다(두 포트를 함께 쓰면 45 W로 줄어 최대 음량에서 모자람). 제작 중에는 같은 충전기로 인두(T01)를 쓴다(R28)</t>
  </si>
  <si>
    <t xml:space="preserve">https://prod.danawa.com/info/?pcode=59074565</t>
  </si>
  <si>
    <t xml:space="preserve">L62</t>
  </si>
  <si>
    <t xml:space="preserve">배송비 — 다나와 최저가 판매처</t>
  </si>
  <si>
    <t xml:space="preserve">다나와 (최저가 판매처) 소계</t>
  </si>
  <si>
    <t xml:space="preserve">■ 동진나무공장</t>
  </si>
  <si>
    <t xml:space="preserve">무료배송 오꾸메 합판 400×1200×11.5mm 무료재단</t>
  </si>
  <si>
    <t xml:space="preserve">스피커 파트 2개의 상자(외형 180×195×210, 내부 5.05 L)를 한 장에서 재단한다. 앞판(배플)은 PETG 출력이라 합판은 10장이다(도면 8의 재단도)</t>
  </si>
  <si>
    <t xml:space="preserve">https://namugongjang.com/product/detail.html?product_no=1378</t>
  </si>
  <si>
    <t xml:space="preserve">동진나무공장</t>
  </si>
  <si>
    <t xml:space="preserve">L10</t>
  </si>
  <si>
    <t xml:space="preserve">무료재단·무료배송. 재단도는 도면 8</t>
  </si>
  <si>
    <t xml:space="preserve">무료배송 오꾸메 합판 600×1200×11.5mm 무료재단</t>
  </si>
  <si>
    <t xml:space="preserve">가운데 유닛(894×195×100) 상자를 한 장에서 재단한다. 바닥 2·뚜껑 2·앞판·뒤판 2·끝판 2·칸막이 2 = 11장(도면 11의 재단도, R26)</t>
  </si>
  <si>
    <t xml:space="preserve">L63</t>
  </si>
  <si>
    <t xml:space="preserve">무료재단·무료배송. 재단도는 도면 11</t>
  </si>
  <si>
    <t xml:space="preserve">동진나무공장 소계</t>
  </si>
  <si>
    <t xml:space="preserve">■ 대건상사</t>
  </si>
  <si>
    <t xml:space="preserve">초강력 네오디움 원형자석 5mm (Ø5×2.0T, N35)</t>
  </si>
  <si>
    <t xml:space="preserve">건반 밑면 포켓에 압입하는 센서용 자석(S극 아래). 88 + 예비 12</t>
  </si>
  <si>
    <t xml:space="preserve">https://dgmagnet.com/product/%EC%B4%88%EA%B0%95%EB%A0%A5-%EB%84%A4%EC%98%A4%EB%94%94%EC%9B%80-%EC%9B%90%ED%98%95%EC%9E%90%EC%84%9D-5mm/13/</t>
  </si>
  <si>
    <t xml:space="preserve">대건상사</t>
  </si>
  <si>
    <t xml:space="preserve">L21</t>
  </si>
  <si>
    <t xml:space="preserve">초강력 네오디움 원형자석 8mm — 3.0T (Ø8×3mm, N35)</t>
  </si>
  <si>
    <t xml:space="preserve">가운데 유닛 뚜껑 3장을 제자리에 붙여 두는 자석. 뚜껑마다 대각선 2곳에 뚜껑·받침 한 쌍씩(12개) + 예비 2. 출력 받침·뚜껑의 Ø8.2 포켓에 순간접착제(C18)로 붙인다(R26)</t>
  </si>
  <si>
    <t xml:space="preserve">https://dgmagnet.com/product/detail.html?product_no=17</t>
  </si>
  <si>
    <t xml:space="preserve">L65</t>
  </si>
  <si>
    <t xml:space="preserve">옵션 3.0T 선택</t>
  </si>
  <si>
    <t xml:space="preserve">배송비 — 대건상사</t>
  </si>
  <si>
    <t xml:space="preserve">대건상사 소계</t>
  </si>
  <si>
    <t xml:space="preserve">■ 알씨뱅크</t>
  </si>
  <si>
    <t xml:space="preserve">리튬폴리머 배터리 밸런스잭 연장선 5셀용 (JST-XH 6핀 수↔암, BU-LP 5S, 200mm)</t>
  </si>
  <si>
    <t xml:space="preserve">끝 부속 ↔ O1·O7 센서 선 6가닥을 잇는 잠금형 커넥터 2쌍. 연장선 가운데를 잘라 수·암 리드 1쌍으로 쓴다(압착 공구 불필요, R26)</t>
  </si>
  <si>
    <t xml:space="preserve">https://www.rcbank.co.kr/shop/goods/goods_view.php?goodsno=29812</t>
  </si>
  <si>
    <t xml:space="preserve">알씨뱅크</t>
  </si>
  <si>
    <t xml:space="preserve">L66</t>
  </si>
  <si>
    <t xml:space="preserve">배송비 — 알씨뱅크</t>
  </si>
  <si>
    <t xml:space="preserve">알씨뱅크 소계</t>
  </si>
  <si>
    <t xml:space="preserve">■ 철물박사</t>
  </si>
  <si>
    <t xml:space="preserve">매미고리 1-20 (SUS304 스테인리스 토글 래치, 25×54mm)</t>
  </si>
  <si>
    <t xml:space="preserve">가운데 유닛 ↔ 스피커 파트를 뒷면에서 당겨 잠그는 토글 래치(이음마다 1개, 2개). 도브테일이 위치를 잡고 래치가 벌어지지 않게 한다(R26)</t>
  </si>
  <si>
    <t xml:space="preserve">https://www.metaldiy.com/item/itemView.do?itemId=8806379117286</t>
  </si>
  <si>
    <t xml:space="preserve">철물박사</t>
  </si>
  <si>
    <t xml:space="preserve">L64</t>
  </si>
  <si>
    <t xml:space="preserve">배송비 — 철물박사</t>
  </si>
  <si>
    <t xml:space="preserve">철물박사 소계</t>
  </si>
  <si>
    <t xml:space="preserve">■ 스튜디오분트</t>
  </si>
  <si>
    <t xml:space="preserve">[DHG] 3mm 대폭 양모펠트지 150×10cm</t>
  </si>
  <si>
    <t xml:space="preserve">백건 앞 스톱(y1.5~10.5)·흑건 스톱(y51.5~58.7) 펠트 3T와 훅 펠트 8×3 조각. 150cm 한 장에서 10mm 띠 약 15m</t>
  </si>
  <si>
    <t xml:space="preserve">https://studiobunt.com/product/detail.html?product_no=2948</t>
  </si>
  <si>
    <t xml:space="preserve">스튜디오분트</t>
  </si>
  <si>
    <t xml:space="preserve">L39</t>
  </si>
  <si>
    <t xml:space="preserve">배송비 — 스튜디오분트</t>
  </si>
  <si>
    <t xml:space="preserve">스튜디오분트 소계</t>
  </si>
  <si>
    <t xml:space="preserve">■ 피아노모아</t>
  </si>
  <si>
    <t xml:space="preserve">듀로 피아노 페달 서스테인 (스위치형) — 홀센서 연속형 개조</t>
  </si>
  <si>
    <t xml:space="preserve">댐퍼(서스테인) 페달 1개(R24). 안의 스위치를 떼고 예비 홀센서·자석을 달아 CC64를 0~127 연속값(하프페달)으로 보낸다</t>
  </si>
  <si>
    <t xml:space="preserve">https://pianomoa.com/product/%EB%93%80%EB%A1%9C-%ED%94%BC%EC%95%84%EB%85%B8-%ED%8E%98%EB%8B%AC-%EC%84%9C%EC%8A%A4%ED%85%8C%EC%9D%B8-%EC%A0%84%EA%B8%B0%EC%A2%85%ED%98%B8%ED%99%98%EA%B0%80%EB%8A%A5-%EC%A0%84%EC%9E%90%ED%82%A4%EB%B3%B4%EB%93%9C-%EB%94%94%EC%A7%80%ED%84%B8-%ED%94%BC%EC%95%84%EB%85%B8-%EB%8C%90%ED%8D%BC/4117/</t>
  </si>
  <si>
    <t xml:space="preserve">피아노모아</t>
  </si>
  <si>
    <t xml:space="preserve">L43</t>
  </si>
  <si>
    <t xml:space="preserve">배송비 — 피아노모아</t>
  </si>
  <si>
    <t xml:space="preserve">피아노모아 소계</t>
  </si>
  <si>
    <t xml:space="preserve">■ Apple Store 온라인</t>
  </si>
  <si>
    <t xml:space="preserve">Apple USB-C–3.5mm 헤드폰 잭 어댑터 (MW2Q3KH/A)</t>
  </si>
  <si>
    <t xml:space="preserve">USB DAC 겸 헤드폰 앰프. 젠더(L52)로 Pi 5 USB-A 포트에 직결해 소리를 아날로그로 바꾼다. 출력은 헤드폰 잭(L15)을 거쳐 앰프(L53)로 간다</t>
  </si>
  <si>
    <t xml:space="preserve">https://www.apple.com/kr/shop/product/mw2q3kh/a</t>
  </si>
  <si>
    <t xml:space="preserve">Apple</t>
  </si>
  <si>
    <t xml:space="preserve">L51</t>
  </si>
  <si>
    <t xml:space="preserve">Apple Store 온라인 소계</t>
  </si>
  <si>
    <t xml:space="preserve">■ AliExpress</t>
  </si>
  <si>
    <t xml:space="preserve">황동 라운드 디스크 8-20mm 1mm 두께 10pcs (Ø8×1, 품절이면 Ø10×1)</t>
  </si>
  <si>
    <t xml:space="preserve">세트스크루 끝이 PETG를 파고들지 않게 받치는 원판(레일 윗면 2 + 백건 척추 윗면 2 = 모듈당 4, 끝 부속 3, 총 31개)</t>
  </si>
  <si>
    <t xml:space="preserve">https://ko.aliexpress.com/item/1005004333402862.html</t>
  </si>
  <si>
    <t xml:space="preserve">EasyNest Store</t>
  </si>
  <si>
    <t xml:space="preserve">L38</t>
  </si>
  <si>
    <t xml:space="preserve">Ø8×1 옵션(품절이면 Ø10×1). 해외 배송, 환율에 따라 가격 변동</t>
  </si>
  <si>
    <t xml:space="preserve">FPV 비행 컨트롤러용 20개 M2/M3 실리콘 방진 그로밋</t>
  </si>
  <si>
    <t xml:space="preserve">끝 부속 ↔ 스피커 파트 짧은 PETG 브래킷(40×17×6, R26)의 방진 그로밋(브래킷당 2개). 위치 고정용이고 스피커 무게는 바닥 고무발이 받친다</t>
  </si>
  <si>
    <t xml:space="preserve">https://ko.aliexpress.com/item/1005012184121268.html</t>
  </si>
  <si>
    <t xml:space="preserve">WorldBridge Store</t>
  </si>
  <si>
    <t xml:space="preserve">L42</t>
  </si>
  <si>
    <t xml:space="preserve">해외 배송, 환율에 따라 가격 변동</t>
  </si>
  <si>
    <t xml:space="preserve">AliExpress 소계</t>
  </si>
  <si>
    <t xml:space="preserve">■ PINE STORE (Pine64 공식)</t>
  </si>
  <si>
    <t xml:space="preserve">PINECIL – Smart Mini Portable Soldering Iron (Version 2)</t>
  </si>
  <si>
    <t xml:space="preserve">제어 기판·센서 기판 손 납땜(v3.2부터 인서트 열압입은 없다)</t>
  </si>
  <si>
    <t xml:space="preserve">https://pine64.com/product/pinecil-smart-mini-portable-soldering-iron/</t>
  </si>
  <si>
    <t xml:space="preserve">PINE STORE</t>
  </si>
  <si>
    <t xml:space="preserve">T01</t>
  </si>
  <si>
    <t xml:space="preserve">해외 직구. 배송비는 아래 줄</t>
  </si>
  <si>
    <t xml:space="preserve">PINECIL Portable Mini Stand</t>
  </si>
  <si>
    <t xml:space="preserve">인두 거치대</t>
  </si>
  <si>
    <t xml:space="preserve">https://pine64.com/product/pinecil-portable-mini-stand/</t>
  </si>
  <si>
    <t xml:space="preserve">T02</t>
  </si>
  <si>
    <t xml:space="preserve">USB TYPE-C TO USB TYPE-C SILICONE POWER CHARGING CABLE - 1 meter</t>
  </si>
  <si>
    <t xml:space="preserve">Pinecil(T01)과 65 W PD 충전기(L62, 피아노 벽 전원)를 잇는 실리콘 C-C 케이블. 제작 중에는 피아노 충전기를 인두 전원으로 쓴다(R26)</t>
  </si>
  <si>
    <t xml:space="preserve">https://pine64.com/product/usb-type-c-to-usb-type-c-silicone-power-charging-cable-1-meter-length/</t>
  </si>
  <si>
    <t xml:space="preserve">T03</t>
  </si>
  <si>
    <t xml:space="preserve">배송비 — PINE STORE</t>
  </si>
  <si>
    <t xml:space="preserve">PINE STORE (Pine64 공식) 소계</t>
  </si>
  <si>
    <t xml:space="preserve">■ 무료 (다운로드)</t>
  </si>
  <si>
    <t xml:space="preserve">FluidSynth 2.6.1</t>
  </si>
  <si>
    <t xml:space="preserve">기본 피아노 엔진(0원). midi.autoconnect=1로 USB-MIDI 8개 입력을 한 곳에서 병합하고 ALSA hw:로 USB 동글(L51)에 출력, 출력 리미터 synth.limiter.active=1(D18)</t>
  </si>
  <si>
    <t xml:space="preserve">https://www.fluidsynth.org/</t>
  </si>
  <si>
    <t xml:space="preserve">FluidSynth</t>
  </si>
  <si>
    <t xml:space="preserve">L45</t>
  </si>
  <si>
    <t xml:space="preserve">구매 없음</t>
  </si>
  <si>
    <t xml:space="preserve">Salamander Grand Piano V3 (FreePats SF2판)</t>
  </si>
  <si>
    <t xml:space="preserve">FluidSynth에 넣는 무료 그랜드 피아노 음원</t>
  </si>
  <si>
    <t xml:space="preserve">https://freepats.zenvoid.org/Piano/acoustic-grand-piano.html</t>
  </si>
  <si>
    <t xml:space="preserve">FreePats</t>
  </si>
  <si>
    <t xml:space="preserve">L46</t>
  </si>
  <si>
    <t xml:space="preserve">무료 (다운로드) 소계</t>
  </si>
  <si>
    <t xml:space="preserve">합계</t>
  </si>
  <si>
    <t xml:space="preserve">기본 부품 합계</t>
  </si>
  <si>
    <t xml:space="preserve">소모품 합계</t>
  </si>
  <si>
    <t xml:space="preserve">공구 합계</t>
  </si>
  <si>
    <t xml:space="preserve">최종 금액</t>
  </si>
  <si>
    <t xml:space="preserve">확인: 판매처 소계의 합</t>
  </si>
  <si>
    <t xml:space="preserve">최종 금액과 같아야 한다</t>
  </si>
  <si>
    <t xml:space="preserve">참고: 도면집 절감안 합계</t>
  </si>
  <si>
    <t xml:space="preserve">출처: 사용자가 붙여 넣은 도면집 v10 절감안 선택 결과(기본 548,578 · 소모품 165,316 · 공구 89,470)</t>
  </si>
  <si>
    <t xml:space="preserve">차이 (최종 − 도면집)</t>
  </si>
  <si>
    <t xml:space="preserve">모두 O일 때 −32원: 도면집이 동전 받침(CT15) 출력분 필라멘트 32원을 소모품에 더했는데, 이 표는 이미 사는 PETG로 출력하므로 따로 넣지 않았다.</t>
  </si>
  <si>
    <t xml:space="preserve">메모</t>
  </si>
  <si>
    <t xml:space="preserve">· 빠진 부품(선택 코드로 사지 않음): 10µF 콘덴서(SE6), 점퍼 단선(SE12→리본), 듀폰 점퍼 40가닥(X1), 플럭스 펜(CT22), 확대경 스탠드(CT14), 전자저울(CT15→동전 추), 16AWG 스트리퍼(CT16), 4067용 암 헤더(SE7).</t>
  </si>
  <si>
    <t xml:space="preserve">· 아이씨뱅큐·엘레파츠·Bambu Lab 배송비는 주문액에 따라 자동 계산된다. 다른 판매처 배송비는 도면집 부품표 값이며, 같은 판매자 묶음배송은 1회만 넣었다.</t>
  </si>
  <si>
    <t xml:space="preserve">· 다나와 줄은 가격 비교 페이지다. 링크에서 최저가 판매처로 넘어가 구매하며 판매처·가격이 바뀔 수 있다.</t>
  </si>
  <si>
    <t xml:space="preserve">· AliExpress·PINE STORE는 해외 결제라 환율·관세 기준에 따라 금액이 조금 달라질 수 있다(PINE STORE 배송비 16,200원 포함).</t>
  </si>
  <si>
    <t xml:space="preserve">· 링크는 2026-09-25에 모두 열리는 것을 확인했다(재고·가격은 주문 시 다시 확인).</t>
  </si>
  <si>
    <t xml:space="preserve">구매 사이트</t>
  </si>
  <si>
    <t xml:space="preserve">품목 수(O)</t>
  </si>
  <si>
    <t xml:space="preserve">소계(원)</t>
  </si>
  <si>
    <t xml:space="preserve">비중</t>
  </si>
  <si>
    <t xml:space="preserve">11번가</t>
  </si>
  <si>
    <t xml:space="preserve">파츠파츠 직영몰</t>
  </si>
  <si>
    <t xml:space="preserve">Bambu Lab KR 공식 스토어</t>
  </si>
  <si>
    <t xml:space="preserve">다나와 (최저가 판매처)</t>
  </si>
  <si>
    <t xml:space="preserve">Apple Store 온라인</t>
  </si>
  <si>
    <t xml:space="preserve">AliExpress</t>
  </si>
  <si>
    <t xml:space="preserve">PINE STORE (Pine64 공식)</t>
  </si>
  <si>
    <t xml:space="preserve">무료 (다운로드)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</si>
</sst>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\원;\-#,##0\원;\-"/>
    <numFmt numFmtId="166" formatCode="#,##0"/>
    <numFmt numFmtId="167" formatCode="#,##0\원;\-#,##0\원;&quot;0원&quot;"/>
    <numFmt numFmtId="168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맑은 고딕"/>
      <family val="0"/>
      <charset val="1"/>
    </font>
    <font>
      <sz val="9"/>
      <color rgb="FF595959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sz val="10"/>
      <name val="맑은 고딕"/>
      <family val="0"/>
      <charset val="1"/>
    </font>
    <font>
      <sz val="10"/>
      <color rgb="FF0000FF"/>
      <name val="맑은 고딕"/>
      <family val="0"/>
      <charset val="1"/>
    </font>
    <font>
      <u val="single"/>
      <sz val="10"/>
      <color rgb="FF0563C1"/>
      <name val="맑은 고딕"/>
      <family val="0"/>
      <charset val="1"/>
    </font>
    <font>
      <i val="true"/>
      <sz val="10"/>
      <name val="맑은 고딕"/>
      <family val="0"/>
      <charset val="1"/>
    </font>
    <font>
      <i val="true"/>
      <sz val="10"/>
      <color rgb="FF0000FF"/>
      <name val="맑은 고딕"/>
      <family val="0"/>
      <charset val="1"/>
    </font>
    <font>
      <b val="true"/>
      <sz val="10"/>
      <name val="맑은 고딕"/>
      <family val="0"/>
      <charset val="1"/>
    </font>
    <font>
      <b val="true"/>
      <sz val="12"/>
      <name val="맑은 고딕"/>
      <family val="0"/>
      <charset val="1"/>
    </font>
    <font>
      <b val="true"/>
      <sz val="13"/>
      <name val="맑은 고딕"/>
      <family val="0"/>
      <charset val="1"/>
    </font>
    <font>
      <sz val="10"/>
      <color rgb="FF595959"/>
      <name val="맑은 고딕"/>
      <family val="0"/>
      <charset val="1"/>
    </font>
    <font>
      <b val="true"/>
      <sz val="10"/>
      <color rgb="FF404040"/>
      <name val="맑은 고딕"/>
      <family val="0"/>
      <charset val="1"/>
    </font>
    <font>
      <sz val="9"/>
      <color rgb="FF404040"/>
      <name val="맑은 고딕"/>
      <family val="0"/>
      <charset val="1"/>
    </font>
    <font>
      <sz val="10"/>
      <color rgb="FF008000"/>
      <name val="맑은 고딕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strike val="1"/>
        <color rgb="FFA6A6A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563C1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icbanq.com/P016286897" TargetMode="External"/><Relationship Id="rId2" Type="http://schemas.openxmlformats.org/officeDocument/2006/relationships/hyperlink" Target="https://www.icbanq.com/P018076669" TargetMode="External"/><Relationship Id="rId3" Type="http://schemas.openxmlformats.org/officeDocument/2006/relationships/hyperlink" Target="https://www.icbanq.com/P015976209" TargetMode="External"/><Relationship Id="rId4" Type="http://schemas.openxmlformats.org/officeDocument/2006/relationships/hyperlink" Target="https://www.icbanq.com/P014968846" TargetMode="External"/><Relationship Id="rId5" Type="http://schemas.openxmlformats.org/officeDocument/2006/relationships/hyperlink" Target="https://www.icbanq.com/P014161879" TargetMode="External"/><Relationship Id="rId6" Type="http://schemas.openxmlformats.org/officeDocument/2006/relationships/hyperlink" Target="https://www.icbanq.com/P005666127" TargetMode="External"/><Relationship Id="rId7" Type="http://schemas.openxmlformats.org/officeDocument/2006/relationships/hyperlink" Target="https://www.icbanq.com/P004711396" TargetMode="External"/><Relationship Id="rId8" Type="http://schemas.openxmlformats.org/officeDocument/2006/relationships/hyperlink" Target="https://www.icbanq.com/P017179248" TargetMode="External"/><Relationship Id="rId9" Type="http://schemas.openxmlformats.org/officeDocument/2006/relationships/hyperlink" Target="https://www.icbanq.com/P014159115" TargetMode="External"/><Relationship Id="rId10" Type="http://schemas.openxmlformats.org/officeDocument/2006/relationships/hyperlink" Target="https://www.icbanq.com/P017179277" TargetMode="External"/><Relationship Id="rId11" Type="http://schemas.openxmlformats.org/officeDocument/2006/relationships/hyperlink" Target="https://www.icbanq.com/P017179502" TargetMode="External"/><Relationship Id="rId12" Type="http://schemas.openxmlformats.org/officeDocument/2006/relationships/hyperlink" Target="https://www.icbanq.com/P015309984" TargetMode="External"/><Relationship Id="rId13" Type="http://schemas.openxmlformats.org/officeDocument/2006/relationships/hyperlink" Target="https://www.eleparts.co.kr/goods/view?no=16628292" TargetMode="External"/><Relationship Id="rId14" Type="http://schemas.openxmlformats.org/officeDocument/2006/relationships/hyperlink" Target="https://www.eleparts.co.kr/goods/view?no=67811" TargetMode="External"/><Relationship Id="rId15" Type="http://schemas.openxmlformats.org/officeDocument/2006/relationships/hyperlink" Target="https://www.eleparts.co.kr/goods/view?no=10911" TargetMode="External"/><Relationship Id="rId16" Type="http://schemas.openxmlformats.org/officeDocument/2006/relationships/hyperlink" Target="https://www.eleparts.co.kr/goods/view?no=10951" TargetMode="External"/><Relationship Id="rId17" Type="http://schemas.openxmlformats.org/officeDocument/2006/relationships/hyperlink" Target="https://www.eleparts.co.kr/goods/view?no=10993" TargetMode="External"/><Relationship Id="rId18" Type="http://schemas.openxmlformats.org/officeDocument/2006/relationships/hyperlink" Target="https://www.eleparts.co.kr/goods/view?no=10873" TargetMode="External"/><Relationship Id="rId19" Type="http://schemas.openxmlformats.org/officeDocument/2006/relationships/hyperlink" Target="https://www.eleparts.co.kr/goods/view?no=11043038" TargetMode="External"/><Relationship Id="rId20" Type="http://schemas.openxmlformats.org/officeDocument/2006/relationships/hyperlink" Target="https://www.eleparts.co.kr/goods/view?no=32569" TargetMode="External"/><Relationship Id="rId21" Type="http://schemas.openxmlformats.org/officeDocument/2006/relationships/hyperlink" Target="https://www.eleparts.co.kr/goods/view?no=3237821" TargetMode="External"/><Relationship Id="rId22" Type="http://schemas.openxmlformats.org/officeDocument/2006/relationships/hyperlink" Target="https://www.eleparts.co.kr/goods/view?no=12766820" TargetMode="External"/><Relationship Id="rId23" Type="http://schemas.openxmlformats.org/officeDocument/2006/relationships/hyperlink" Target="https://www.eleparts.co.kr/goods/view?no=12779720" TargetMode="External"/><Relationship Id="rId24" Type="http://schemas.openxmlformats.org/officeDocument/2006/relationships/hyperlink" Target="https://www.eleparts.co.kr/goods/view?no=12779721" TargetMode="External"/><Relationship Id="rId25" Type="http://schemas.openxmlformats.org/officeDocument/2006/relationships/hyperlink" Target="https://www.eleparts.co.kr/goods/view?no=4313490" TargetMode="External"/><Relationship Id="rId26" Type="http://schemas.openxmlformats.org/officeDocument/2006/relationships/hyperlink" Target="https://www.eleparts.co.kr/goods/view?no=425" TargetMode="External"/><Relationship Id="rId27" Type="http://schemas.openxmlformats.org/officeDocument/2006/relationships/hyperlink" Target="https://www.eleparts.co.kr/goods/view?no=425" TargetMode="External"/><Relationship Id="rId28" Type="http://schemas.openxmlformats.org/officeDocument/2006/relationships/hyperlink" Target="https://www.eleparts.co.kr/goods/view?no=8170311" TargetMode="External"/><Relationship Id="rId29" Type="http://schemas.openxmlformats.org/officeDocument/2006/relationships/hyperlink" Target="https://www.eleparts.co.kr/goods/view?no=557" TargetMode="External"/><Relationship Id="rId30" Type="http://schemas.openxmlformats.org/officeDocument/2006/relationships/hyperlink" Target="https://www.eleparts.co.kr/goods/view?no=9100003" TargetMode="External"/><Relationship Id="rId31" Type="http://schemas.openxmlformats.org/officeDocument/2006/relationships/hyperlink" Target="https://www.eleparts.co.kr/goods/view?no=18388615" TargetMode="External"/><Relationship Id="rId32" Type="http://schemas.openxmlformats.org/officeDocument/2006/relationships/hyperlink" Target="https://www.eleparts.co.kr/goods/view?no=2925673" TargetMode="External"/><Relationship Id="rId33" Type="http://schemas.openxmlformats.org/officeDocument/2006/relationships/hyperlink" Target="https://www.eleparts.co.kr/goods/view?no=17806172" TargetMode="External"/><Relationship Id="rId34" Type="http://schemas.openxmlformats.org/officeDocument/2006/relationships/hyperlink" Target="https://www.eleparts.co.kr/goods/view?no=17806170" TargetMode="External"/><Relationship Id="rId35" Type="http://schemas.openxmlformats.org/officeDocument/2006/relationships/hyperlink" Target="https://www.eleparts.co.kr/goods/view?no=17358965" TargetMode="External"/><Relationship Id="rId36" Type="http://schemas.openxmlformats.org/officeDocument/2006/relationships/hyperlink" Target="https://www.eleparts.co.kr/goods/view?no=17897439" TargetMode="External"/><Relationship Id="rId37" Type="http://schemas.openxmlformats.org/officeDocument/2006/relationships/hyperlink" Target="https://www.eleparts.co.kr/goods/view?no=12755646" TargetMode="External"/><Relationship Id="rId38" Type="http://schemas.openxmlformats.org/officeDocument/2006/relationships/hyperlink" Target="https://www.eleparts.co.kr/goods/view?no=6779159" TargetMode="External"/><Relationship Id="rId39" Type="http://schemas.openxmlformats.org/officeDocument/2006/relationships/hyperlink" Target="https://www.eleparts.co.kr/goods/view?no=3787704" TargetMode="External"/><Relationship Id="rId40" Type="http://schemas.openxmlformats.org/officeDocument/2006/relationships/hyperlink" Target="https://www.eleparts.co.kr/goods/view?no=7663472" TargetMode="External"/><Relationship Id="rId41" Type="http://schemas.openxmlformats.org/officeDocument/2006/relationships/hyperlink" Target="https://www.eleparts.co.kr/goods/view?no=16549359" TargetMode="External"/><Relationship Id="rId42" Type="http://schemas.openxmlformats.org/officeDocument/2006/relationships/hyperlink" Target="https://www.11st.co.kr/products/1565354988" TargetMode="External"/><Relationship Id="rId43" Type="http://schemas.openxmlformats.org/officeDocument/2006/relationships/hyperlink" Target="https://www.11st.co.kr/products/2325598213" TargetMode="External"/><Relationship Id="rId44" Type="http://schemas.openxmlformats.org/officeDocument/2006/relationships/hyperlink" Target="https://www.11st.co.kr/products/7591566666" TargetMode="External"/><Relationship Id="rId45" Type="http://schemas.openxmlformats.org/officeDocument/2006/relationships/hyperlink" Target="https://www.11st.co.kr/products/8517880969" TargetMode="External"/><Relationship Id="rId46" Type="http://schemas.openxmlformats.org/officeDocument/2006/relationships/hyperlink" Target="https://www.11st.co.kr/products/4236198413" TargetMode="External"/><Relationship Id="rId47" Type="http://schemas.openxmlformats.org/officeDocument/2006/relationships/hyperlink" Target="https://www.11st.co.kr/products/4236198413" TargetMode="External"/><Relationship Id="rId48" Type="http://schemas.openxmlformats.org/officeDocument/2006/relationships/hyperlink" Target="https://www.11st.co.kr/products/4236198413" TargetMode="External"/><Relationship Id="rId49" Type="http://schemas.openxmlformats.org/officeDocument/2006/relationships/hyperlink" Target="https://www.11st.co.kr/products/4236198413" TargetMode="External"/><Relationship Id="rId50" Type="http://schemas.openxmlformats.org/officeDocument/2006/relationships/hyperlink" Target="https://www.11st.co.kr/products/4236198413" TargetMode="External"/><Relationship Id="rId51" Type="http://schemas.openxmlformats.org/officeDocument/2006/relationships/hyperlink" Target="https://www.11st.co.kr/products/4236198413" TargetMode="External"/><Relationship Id="rId52" Type="http://schemas.openxmlformats.org/officeDocument/2006/relationships/hyperlink" Target="https://www.11st.co.kr/products/4353471537" TargetMode="External"/><Relationship Id="rId53" Type="http://schemas.openxmlformats.org/officeDocument/2006/relationships/hyperlink" Target="https://www.11st.co.kr/products/4353471537" TargetMode="External"/><Relationship Id="rId54" Type="http://schemas.openxmlformats.org/officeDocument/2006/relationships/hyperlink" Target="https://www.11st.co.kr/products/4353471537" TargetMode="External"/><Relationship Id="rId55" Type="http://schemas.openxmlformats.org/officeDocument/2006/relationships/hyperlink" Target="https://www.11st.co.kr/products/4353471537" TargetMode="External"/><Relationship Id="rId56" Type="http://schemas.openxmlformats.org/officeDocument/2006/relationships/hyperlink" Target="https://www.11st.co.kr/products/9579455646" TargetMode="External"/><Relationship Id="rId57" Type="http://schemas.openxmlformats.org/officeDocument/2006/relationships/hyperlink" Target="https://www.11st.co.kr/products/1874655675" TargetMode="External"/><Relationship Id="rId58" Type="http://schemas.openxmlformats.org/officeDocument/2006/relationships/hyperlink" Target="https://www.11st.co.kr/products/4236198413" TargetMode="External"/><Relationship Id="rId59" Type="http://schemas.openxmlformats.org/officeDocument/2006/relationships/hyperlink" Target="https://www.11st.co.kr/products/4236198413" TargetMode="External"/><Relationship Id="rId60" Type="http://schemas.openxmlformats.org/officeDocument/2006/relationships/hyperlink" Target="https://www.mechasolution.com/goods/goods_view.php?goodsNo=605179" TargetMode="External"/><Relationship Id="rId61" Type="http://schemas.openxmlformats.org/officeDocument/2006/relationships/hyperlink" Target="https://www.mechasolution.com/goods/goods_view.php?goodsNo=540645" TargetMode="External"/><Relationship Id="rId62" Type="http://schemas.openxmlformats.org/officeDocument/2006/relationships/hyperlink" Target="https://www.mechasolution.com/goods/goods_view.php?goodsNo=329798" TargetMode="External"/><Relationship Id="rId63" Type="http://schemas.openxmlformats.org/officeDocument/2006/relationships/hyperlink" Target="https://parts-parts.co.kr/product/detail.html?product_no=2383" TargetMode="External"/><Relationship Id="rId64" Type="http://schemas.openxmlformats.org/officeDocument/2006/relationships/hyperlink" Target="https://parts-parts.co.kr/product/detail.html?product_no=303" TargetMode="External"/><Relationship Id="rId65" Type="http://schemas.openxmlformats.org/officeDocument/2006/relationships/hyperlink" Target="https://kr.store.bambulab.com/products/petg-basic" TargetMode="External"/><Relationship Id="rId66" Type="http://schemas.openxmlformats.org/officeDocument/2006/relationships/hyperlink" Target="https://kr.store.bambulab.com/products/petg-basic" TargetMode="External"/><Relationship Id="rId67" Type="http://schemas.openxmlformats.org/officeDocument/2006/relationships/hyperlink" Target="https://kr.store.bambulab.com/products/petg-basic" TargetMode="External"/><Relationship Id="rId68" Type="http://schemas.openxmlformats.org/officeDocument/2006/relationships/hyperlink" Target="https://kr.store.bambulab.com/products/petg-basic" TargetMode="External"/><Relationship Id="rId69" Type="http://schemas.openxmlformats.org/officeDocument/2006/relationships/hyperlink" Target="https://prod.danawa.com/info/?pcode=20358155" TargetMode="External"/><Relationship Id="rId70" Type="http://schemas.openxmlformats.org/officeDocument/2006/relationships/hyperlink" Target="https://prod.danawa.com/info/?pcode=29865749" TargetMode="External"/><Relationship Id="rId71" Type="http://schemas.openxmlformats.org/officeDocument/2006/relationships/hyperlink" Target="https://prod.danawa.com/info/?pcode=59074565" TargetMode="External"/><Relationship Id="rId72" Type="http://schemas.openxmlformats.org/officeDocument/2006/relationships/hyperlink" Target="https://namugongjang.com/product/detail.html?product_no=1378" TargetMode="External"/><Relationship Id="rId73" Type="http://schemas.openxmlformats.org/officeDocument/2006/relationships/hyperlink" Target="https://namugongjang.com/product/detail.html?product_no=1378" TargetMode="External"/><Relationship Id="rId74" Type="http://schemas.openxmlformats.org/officeDocument/2006/relationships/hyperlink" Target="https://dgmagnet.com/product/&#52488;&#44053;&#47141;-&#45348;&#50724;&#46356;&#50880;-&#50896;&#54805;&#51088;&#49437;-5mm/13/" TargetMode="External"/><Relationship Id="rId75" Type="http://schemas.openxmlformats.org/officeDocument/2006/relationships/hyperlink" Target="https://dgmagnet.com/product/detail.html?product_no=17" TargetMode="External"/><Relationship Id="rId76" Type="http://schemas.openxmlformats.org/officeDocument/2006/relationships/hyperlink" Target="https://www.rcbank.co.kr/shop/goods/goods_view.php?goodsno=29812" TargetMode="External"/><Relationship Id="rId77" Type="http://schemas.openxmlformats.org/officeDocument/2006/relationships/hyperlink" Target="https://www.metaldiy.com/item/itemView.do?itemId=8806379117286" TargetMode="External"/><Relationship Id="rId78" Type="http://schemas.openxmlformats.org/officeDocument/2006/relationships/hyperlink" Target="https://studiobunt.com/product/detail.html?product_no=2948" TargetMode="External"/><Relationship Id="rId79" Type="http://schemas.openxmlformats.org/officeDocument/2006/relationships/hyperlink" Target="https://pianomoa.com/product/&#46272;&#47196;-&#54588;&#50500;&#45432;-&#54168;&#45804;-&#49436;&#49828;&#53580;&#51064;-&#51204;&#44592;&#51333;&#54840;&#54872;&#44032;&#45733;-&#51204;&#51088;&#53412;&#48372;&#46300;-&#46356;&#51648;&#53560;-&#54588;&#50500;&#45432;-&#45840;&#54140;/4117/" TargetMode="External"/><Relationship Id="rId80" Type="http://schemas.openxmlformats.org/officeDocument/2006/relationships/hyperlink" Target="https://www.apple.com/kr/shop/product/mw2q3kh/a" TargetMode="External"/><Relationship Id="rId81" Type="http://schemas.openxmlformats.org/officeDocument/2006/relationships/hyperlink" Target="https://ko.aliexpress.com/item/1005004333402862.html" TargetMode="External"/><Relationship Id="rId82" Type="http://schemas.openxmlformats.org/officeDocument/2006/relationships/hyperlink" Target="https://ko.aliexpress.com/item/1005012184121268.html" TargetMode="External"/><Relationship Id="rId83" Type="http://schemas.openxmlformats.org/officeDocument/2006/relationships/hyperlink" Target="https://pine64.com/product/pinecil-smart-mini-portable-soldering-iron/" TargetMode="External"/><Relationship Id="rId84" Type="http://schemas.openxmlformats.org/officeDocument/2006/relationships/hyperlink" Target="https://pine64.com/product/pinecil-portable-mini-stand/" TargetMode="External"/><Relationship Id="rId85" Type="http://schemas.openxmlformats.org/officeDocument/2006/relationships/hyperlink" Target="https://pine64.com/product/usb-type-c-to-usb-type-c-silicone-power-charging-cable-1-meter-length/" TargetMode="External"/><Relationship Id="rId86" Type="http://schemas.openxmlformats.org/officeDocument/2006/relationships/hyperlink" Target="https://www.fluidsynth.org/" TargetMode="External"/><Relationship Id="rId87" Type="http://schemas.openxmlformats.org/officeDocument/2006/relationships/hyperlink" Target="https://freepats.zenvoid.org/Piano/acoustic-grand-piano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1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14"/>
    <col collapsed="false" customWidth="true" hidden="false" outlineLevel="0" max="4" min="4" style="0" width="7"/>
    <col collapsed="false" customWidth="true" hidden="false" outlineLevel="0" max="5" min="5" style="0" width="62"/>
    <col collapsed="false" customWidth="true" hidden="false" outlineLevel="0" max="6" min="6" style="0" width="15"/>
    <col collapsed="false" customWidth="true" hidden="false" outlineLevel="0" max="7" min="7" style="0" width="48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36"/>
  </cols>
  <sheetData>
    <row r="1" customFormat="false" ht="16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30" hidden="false" customHeight="tru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</row>
    <row r="6" customFormat="false" ht="19.5" hidden="false" customHeight="true" outlineLevel="0" collapsed="false">
      <c r="A6" s="4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30.55" hidden="false" customHeight="false" outlineLevel="0" collapsed="false">
      <c r="A7" s="5" t="n">
        <v>1</v>
      </c>
      <c r="B7" s="6" t="s">
        <v>16</v>
      </c>
      <c r="C7" s="7" t="n">
        <v>119900</v>
      </c>
      <c r="D7" s="8" t="n">
        <v>1</v>
      </c>
      <c r="E7" s="6" t="s">
        <v>17</v>
      </c>
      <c r="F7" s="9" t="n">
        <f aca="false">C7*D7</f>
        <v>119900</v>
      </c>
      <c r="G7" s="10" t="s">
        <v>18</v>
      </c>
      <c r="H7" s="5" t="s">
        <v>19</v>
      </c>
      <c r="I7" s="11" t="s">
        <v>20</v>
      </c>
      <c r="J7" s="6" t="s">
        <v>21</v>
      </c>
      <c r="K7" s="5" t="s">
        <v>22</v>
      </c>
      <c r="L7" s="6"/>
    </row>
    <row r="8" customFormat="false" ht="20.85" hidden="false" customHeight="false" outlineLevel="0" collapsed="false">
      <c r="A8" s="5" t="n">
        <v>2</v>
      </c>
      <c r="B8" s="6" t="s">
        <v>23</v>
      </c>
      <c r="C8" s="7" t="n">
        <v>891</v>
      </c>
      <c r="D8" s="8" t="n">
        <v>100</v>
      </c>
      <c r="E8" s="6" t="s">
        <v>24</v>
      </c>
      <c r="F8" s="9" t="n">
        <f aca="false">C8*D8</f>
        <v>89100</v>
      </c>
      <c r="G8" s="10" t="s">
        <v>25</v>
      </c>
      <c r="H8" s="5" t="s">
        <v>19</v>
      </c>
      <c r="I8" s="11" t="s">
        <v>20</v>
      </c>
      <c r="J8" s="6" t="s">
        <v>26</v>
      </c>
      <c r="K8" s="5" t="s">
        <v>27</v>
      </c>
      <c r="L8" s="6"/>
    </row>
    <row r="9" customFormat="false" ht="30.55" hidden="false" customHeight="false" outlineLevel="0" collapsed="false">
      <c r="A9" s="5" t="n">
        <v>3</v>
      </c>
      <c r="B9" s="6" t="s">
        <v>28</v>
      </c>
      <c r="C9" s="7" t="n">
        <v>11</v>
      </c>
      <c r="D9" s="8" t="n">
        <v>75</v>
      </c>
      <c r="E9" s="6" t="s">
        <v>29</v>
      </c>
      <c r="F9" s="9" t="n">
        <f aca="false">C9*D9</f>
        <v>825</v>
      </c>
      <c r="G9" s="10" t="s">
        <v>30</v>
      </c>
      <c r="H9" s="5" t="s">
        <v>19</v>
      </c>
      <c r="I9" s="11" t="s">
        <v>20</v>
      </c>
      <c r="J9" s="6" t="s">
        <v>26</v>
      </c>
      <c r="K9" s="5" t="s">
        <v>31</v>
      </c>
      <c r="L9" s="6"/>
    </row>
    <row r="10" customFormat="false" ht="20.85" hidden="false" customHeight="false" outlineLevel="0" collapsed="false">
      <c r="A10" s="5" t="n">
        <v>4</v>
      </c>
      <c r="B10" s="6" t="s">
        <v>32</v>
      </c>
      <c r="C10" s="7" t="n">
        <v>44</v>
      </c>
      <c r="D10" s="8" t="n">
        <v>100</v>
      </c>
      <c r="E10" s="6" t="s">
        <v>33</v>
      </c>
      <c r="F10" s="9" t="n">
        <f aca="false">C10*D10</f>
        <v>4400</v>
      </c>
      <c r="G10" s="10" t="s">
        <v>34</v>
      </c>
      <c r="H10" s="5" t="s">
        <v>19</v>
      </c>
      <c r="I10" s="11" t="s">
        <v>20</v>
      </c>
      <c r="J10" s="6" t="s">
        <v>26</v>
      </c>
      <c r="K10" s="5" t="s">
        <v>35</v>
      </c>
      <c r="L10" s="6" t="s">
        <v>36</v>
      </c>
    </row>
    <row r="11" customFormat="false" ht="20.85" hidden="false" customHeight="false" outlineLevel="0" collapsed="false">
      <c r="A11" s="5" t="n">
        <v>5</v>
      </c>
      <c r="B11" s="6" t="s">
        <v>37</v>
      </c>
      <c r="C11" s="7" t="n">
        <v>528</v>
      </c>
      <c r="D11" s="8" t="n">
        <v>1</v>
      </c>
      <c r="E11" s="6" t="s">
        <v>38</v>
      </c>
      <c r="F11" s="9" t="n">
        <f aca="false">C11*D11</f>
        <v>528</v>
      </c>
      <c r="G11" s="10" t="s">
        <v>39</v>
      </c>
      <c r="H11" s="5" t="s">
        <v>19</v>
      </c>
      <c r="I11" s="11" t="s">
        <v>20</v>
      </c>
      <c r="J11" s="6" t="s">
        <v>21</v>
      </c>
      <c r="K11" s="5" t="s">
        <v>40</v>
      </c>
      <c r="L11" s="6"/>
    </row>
    <row r="12" customFormat="false" ht="20.85" hidden="false" customHeight="false" outlineLevel="0" collapsed="false">
      <c r="A12" s="5" t="n">
        <v>6</v>
      </c>
      <c r="B12" s="6" t="s">
        <v>41</v>
      </c>
      <c r="C12" s="7" t="n">
        <v>165</v>
      </c>
      <c r="D12" s="8" t="n">
        <v>5</v>
      </c>
      <c r="E12" s="6" t="s">
        <v>42</v>
      </c>
      <c r="F12" s="9" t="n">
        <f aca="false">C12*D12</f>
        <v>825</v>
      </c>
      <c r="G12" s="10" t="s">
        <v>43</v>
      </c>
      <c r="H12" s="5" t="s">
        <v>19</v>
      </c>
      <c r="I12" s="11" t="s">
        <v>20</v>
      </c>
      <c r="J12" s="6" t="s">
        <v>21</v>
      </c>
      <c r="K12" s="5" t="s">
        <v>40</v>
      </c>
      <c r="L12" s="6" t="s">
        <v>44</v>
      </c>
    </row>
    <row r="13" customFormat="false" ht="30.55" hidden="false" customHeight="false" outlineLevel="0" collapsed="false">
      <c r="A13" s="5" t="n">
        <v>7</v>
      </c>
      <c r="B13" s="6" t="s">
        <v>45</v>
      </c>
      <c r="C13" s="7" t="n">
        <v>2860</v>
      </c>
      <c r="D13" s="8" t="n">
        <v>1</v>
      </c>
      <c r="E13" s="6" t="s">
        <v>46</v>
      </c>
      <c r="F13" s="9" t="n">
        <f aca="false">C13*D13</f>
        <v>2860</v>
      </c>
      <c r="G13" s="10" t="s">
        <v>47</v>
      </c>
      <c r="H13" s="5" t="s">
        <v>19</v>
      </c>
      <c r="I13" s="11" t="s">
        <v>20</v>
      </c>
      <c r="J13" s="6" t="s">
        <v>21</v>
      </c>
      <c r="K13" s="5" t="s">
        <v>48</v>
      </c>
      <c r="L13" s="6"/>
    </row>
    <row r="14" customFormat="false" ht="30.55" hidden="false" customHeight="false" outlineLevel="0" collapsed="false">
      <c r="A14" s="5" t="n">
        <v>8</v>
      </c>
      <c r="B14" s="6" t="s">
        <v>49</v>
      </c>
      <c r="C14" s="7" t="n">
        <v>2750</v>
      </c>
      <c r="D14" s="8" t="n">
        <v>1</v>
      </c>
      <c r="E14" s="6" t="s">
        <v>50</v>
      </c>
      <c r="F14" s="9" t="n">
        <f aca="false">C14*D14</f>
        <v>2750</v>
      </c>
      <c r="G14" s="10" t="s">
        <v>51</v>
      </c>
      <c r="H14" s="5" t="s">
        <v>19</v>
      </c>
      <c r="I14" s="11" t="s">
        <v>20</v>
      </c>
      <c r="J14" s="6" t="s">
        <v>52</v>
      </c>
      <c r="K14" s="5" t="s">
        <v>53</v>
      </c>
      <c r="L14" s="6"/>
    </row>
    <row r="15" customFormat="false" ht="30.55" hidden="false" customHeight="false" outlineLevel="0" collapsed="false">
      <c r="A15" s="5" t="n">
        <v>9</v>
      </c>
      <c r="B15" s="6" t="s">
        <v>54</v>
      </c>
      <c r="C15" s="7" t="n">
        <v>133</v>
      </c>
      <c r="D15" s="8" t="n">
        <v>5</v>
      </c>
      <c r="E15" s="6" t="s">
        <v>55</v>
      </c>
      <c r="F15" s="9" t="n">
        <f aca="false">C15*D15</f>
        <v>665</v>
      </c>
      <c r="G15" s="10" t="s">
        <v>56</v>
      </c>
      <c r="H15" s="5" t="s">
        <v>19</v>
      </c>
      <c r="I15" s="11" t="s">
        <v>20</v>
      </c>
      <c r="J15" s="6" t="s">
        <v>57</v>
      </c>
      <c r="K15" s="5" t="s">
        <v>58</v>
      </c>
      <c r="L15" s="6"/>
    </row>
    <row r="16" customFormat="false" ht="30.55" hidden="false" customHeight="false" outlineLevel="0" collapsed="false">
      <c r="A16" s="5" t="n">
        <v>10</v>
      </c>
      <c r="B16" s="6" t="s">
        <v>59</v>
      </c>
      <c r="C16" s="7" t="n">
        <v>4950</v>
      </c>
      <c r="D16" s="8" t="n">
        <v>1</v>
      </c>
      <c r="E16" s="6" t="s">
        <v>60</v>
      </c>
      <c r="F16" s="9" t="n">
        <f aca="false">C16*D16</f>
        <v>4950</v>
      </c>
      <c r="G16" s="10" t="s">
        <v>61</v>
      </c>
      <c r="H16" s="5" t="s">
        <v>19</v>
      </c>
      <c r="I16" s="11" t="s">
        <v>20</v>
      </c>
      <c r="J16" s="6" t="s">
        <v>52</v>
      </c>
      <c r="K16" s="5" t="s">
        <v>62</v>
      </c>
      <c r="L16" s="6"/>
    </row>
    <row r="17" customFormat="false" ht="30.55" hidden="false" customHeight="false" outlineLevel="0" collapsed="false">
      <c r="A17" s="5" t="n">
        <v>11</v>
      </c>
      <c r="B17" s="6" t="s">
        <v>63</v>
      </c>
      <c r="C17" s="7" t="n">
        <v>5170</v>
      </c>
      <c r="D17" s="8" t="n">
        <v>1</v>
      </c>
      <c r="E17" s="6" t="s">
        <v>64</v>
      </c>
      <c r="F17" s="9" t="n">
        <f aca="false">C17*D17</f>
        <v>5170</v>
      </c>
      <c r="G17" s="10" t="s">
        <v>65</v>
      </c>
      <c r="H17" s="5" t="s">
        <v>19</v>
      </c>
      <c r="I17" s="11" t="s">
        <v>20</v>
      </c>
      <c r="J17" s="6" t="s">
        <v>52</v>
      </c>
      <c r="K17" s="5" t="s">
        <v>66</v>
      </c>
      <c r="L17" s="6"/>
    </row>
    <row r="18" customFormat="false" ht="20.85" hidden="false" customHeight="false" outlineLevel="0" collapsed="false">
      <c r="A18" s="5" t="n">
        <v>12</v>
      </c>
      <c r="B18" s="6" t="s">
        <v>67</v>
      </c>
      <c r="C18" s="7" t="n">
        <v>1100</v>
      </c>
      <c r="D18" s="8" t="n">
        <v>1</v>
      </c>
      <c r="E18" s="6" t="s">
        <v>68</v>
      </c>
      <c r="F18" s="9" t="n">
        <f aca="false">C18*D18</f>
        <v>1100</v>
      </c>
      <c r="G18" s="10" t="s">
        <v>69</v>
      </c>
      <c r="H18" s="5" t="s">
        <v>70</v>
      </c>
      <c r="I18" s="11" t="s">
        <v>20</v>
      </c>
      <c r="J18" s="6" t="s">
        <v>71</v>
      </c>
      <c r="K18" s="5" t="s">
        <v>72</v>
      </c>
      <c r="L18" s="6" t="s">
        <v>73</v>
      </c>
    </row>
    <row r="19" customFormat="false" ht="20.85" hidden="false" customHeight="false" outlineLevel="0" collapsed="false">
      <c r="A19" s="12" t="n">
        <v>13</v>
      </c>
      <c r="B19" s="13" t="s">
        <v>74</v>
      </c>
      <c r="C19" s="14" t="n">
        <f aca="false">IF(SUMIFS(F7:F18,I7:I18,"O")/1.1&lt;50000,2700,0)</f>
        <v>0</v>
      </c>
      <c r="D19" s="15" t="n">
        <v>1</v>
      </c>
      <c r="E19" s="16" t="s">
        <v>75</v>
      </c>
      <c r="F19" s="14" t="n">
        <f aca="false">C19*D19</f>
        <v>0</v>
      </c>
      <c r="G19" s="16"/>
      <c r="H19" s="12" t="s">
        <v>19</v>
      </c>
      <c r="I19" s="15" t="s">
        <v>20</v>
      </c>
      <c r="J19" s="16"/>
      <c r="K19" s="12"/>
      <c r="L19" s="13" t="s">
        <v>76</v>
      </c>
    </row>
    <row r="20" customFormat="false" ht="15" hidden="false" customHeight="false" outlineLevel="0" collapsed="false">
      <c r="A20" s="17"/>
      <c r="B20" s="18" t="s">
        <v>77</v>
      </c>
      <c r="C20" s="17"/>
      <c r="D20" s="17"/>
      <c r="E20" s="17"/>
      <c r="F20" s="19" t="n">
        <f aca="false">SUMIFS(F7:F19,I7:I19,"O")</f>
        <v>233073</v>
      </c>
      <c r="G20" s="17"/>
      <c r="H20" s="17"/>
      <c r="I20" s="17"/>
      <c r="J20" s="17"/>
      <c r="K20" s="17"/>
      <c r="L20" s="17"/>
    </row>
    <row r="22" customFormat="false" ht="19.5" hidden="false" customHeight="true" outlineLevel="0" collapsed="false">
      <c r="A22" s="4" t="s">
        <v>78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customFormat="false" ht="30.55" hidden="false" customHeight="false" outlineLevel="0" collapsed="false">
      <c r="A23" s="5" t="n">
        <v>14</v>
      </c>
      <c r="B23" s="6" t="s">
        <v>79</v>
      </c>
      <c r="C23" s="7" t="n">
        <v>583</v>
      </c>
      <c r="D23" s="8" t="n">
        <v>20</v>
      </c>
      <c r="E23" s="6" t="s">
        <v>80</v>
      </c>
      <c r="F23" s="9" t="n">
        <f aca="false">C23*D23</f>
        <v>11660</v>
      </c>
      <c r="G23" s="10" t="s">
        <v>81</v>
      </c>
      <c r="H23" s="5" t="s">
        <v>19</v>
      </c>
      <c r="I23" s="11" t="s">
        <v>20</v>
      </c>
      <c r="J23" s="6" t="s">
        <v>82</v>
      </c>
      <c r="K23" s="5" t="s">
        <v>83</v>
      </c>
      <c r="L23" s="6"/>
    </row>
    <row r="24" customFormat="false" ht="49.95" hidden="false" customHeight="false" outlineLevel="0" collapsed="false">
      <c r="A24" s="5" t="n">
        <v>15</v>
      </c>
      <c r="B24" s="6" t="s">
        <v>84</v>
      </c>
      <c r="C24" s="7" t="n">
        <v>198</v>
      </c>
      <c r="D24" s="8" t="n">
        <v>3</v>
      </c>
      <c r="E24" s="6" t="s">
        <v>85</v>
      </c>
      <c r="F24" s="9" t="n">
        <f aca="false">C24*D24</f>
        <v>594</v>
      </c>
      <c r="G24" s="10" t="s">
        <v>86</v>
      </c>
      <c r="H24" s="5" t="s">
        <v>19</v>
      </c>
      <c r="I24" s="11" t="s">
        <v>20</v>
      </c>
      <c r="J24" s="6" t="s">
        <v>82</v>
      </c>
      <c r="K24" s="5" t="s">
        <v>87</v>
      </c>
      <c r="L24" s="6"/>
    </row>
    <row r="25" customFormat="false" ht="20.85" hidden="false" customHeight="false" outlineLevel="0" collapsed="false">
      <c r="A25" s="5" t="n">
        <v>16</v>
      </c>
      <c r="B25" s="6" t="s">
        <v>88</v>
      </c>
      <c r="C25" s="7" t="n">
        <v>25</v>
      </c>
      <c r="D25" s="8" t="n">
        <v>10</v>
      </c>
      <c r="E25" s="6" t="s">
        <v>89</v>
      </c>
      <c r="F25" s="9" t="n">
        <f aca="false">C25*D25</f>
        <v>250</v>
      </c>
      <c r="G25" s="10" t="s">
        <v>90</v>
      </c>
      <c r="H25" s="5" t="s">
        <v>19</v>
      </c>
      <c r="I25" s="11" t="s">
        <v>20</v>
      </c>
      <c r="J25" s="6" t="s">
        <v>82</v>
      </c>
      <c r="K25" s="5" t="s">
        <v>91</v>
      </c>
      <c r="L25" s="6" t="s">
        <v>92</v>
      </c>
    </row>
    <row r="26" customFormat="false" ht="20.85" hidden="false" customHeight="false" outlineLevel="0" collapsed="false">
      <c r="A26" s="5" t="n">
        <v>17</v>
      </c>
      <c r="B26" s="6" t="s">
        <v>93</v>
      </c>
      <c r="C26" s="7" t="n">
        <v>25</v>
      </c>
      <c r="D26" s="8" t="n">
        <v>10</v>
      </c>
      <c r="E26" s="6" t="s">
        <v>94</v>
      </c>
      <c r="F26" s="9" t="n">
        <f aca="false">C26*D26</f>
        <v>250</v>
      </c>
      <c r="G26" s="10" t="s">
        <v>95</v>
      </c>
      <c r="H26" s="5" t="s">
        <v>19</v>
      </c>
      <c r="I26" s="11" t="s">
        <v>20</v>
      </c>
      <c r="J26" s="6" t="s">
        <v>82</v>
      </c>
      <c r="K26" s="5" t="s">
        <v>91</v>
      </c>
      <c r="L26" s="6" t="s">
        <v>92</v>
      </c>
    </row>
    <row r="27" customFormat="false" ht="20.85" hidden="false" customHeight="false" outlineLevel="0" collapsed="false">
      <c r="A27" s="5" t="n">
        <v>18</v>
      </c>
      <c r="B27" s="6" t="s">
        <v>96</v>
      </c>
      <c r="C27" s="7" t="n">
        <v>25</v>
      </c>
      <c r="D27" s="8" t="n">
        <v>10</v>
      </c>
      <c r="E27" s="6" t="s">
        <v>97</v>
      </c>
      <c r="F27" s="9" t="n">
        <f aca="false">C27*D27</f>
        <v>250</v>
      </c>
      <c r="G27" s="10" t="s">
        <v>98</v>
      </c>
      <c r="H27" s="5" t="s">
        <v>19</v>
      </c>
      <c r="I27" s="11" t="s">
        <v>20</v>
      </c>
      <c r="J27" s="6" t="s">
        <v>82</v>
      </c>
      <c r="K27" s="5" t="s">
        <v>91</v>
      </c>
      <c r="L27" s="6" t="s">
        <v>92</v>
      </c>
    </row>
    <row r="28" customFormat="false" ht="20.85" hidden="false" customHeight="false" outlineLevel="0" collapsed="false">
      <c r="A28" s="5" t="n">
        <v>19</v>
      </c>
      <c r="B28" s="6" t="s">
        <v>99</v>
      </c>
      <c r="C28" s="7" t="n">
        <v>25</v>
      </c>
      <c r="D28" s="8" t="n">
        <v>10</v>
      </c>
      <c r="E28" s="6" t="s">
        <v>100</v>
      </c>
      <c r="F28" s="9" t="n">
        <f aca="false">C28*D28</f>
        <v>250</v>
      </c>
      <c r="G28" s="10" t="s">
        <v>101</v>
      </c>
      <c r="H28" s="5" t="s">
        <v>19</v>
      </c>
      <c r="I28" s="11" t="s">
        <v>20</v>
      </c>
      <c r="J28" s="6" t="s">
        <v>82</v>
      </c>
      <c r="K28" s="5" t="s">
        <v>91</v>
      </c>
      <c r="L28" s="6" t="s">
        <v>92</v>
      </c>
    </row>
    <row r="29" customFormat="false" ht="20.85" hidden="false" customHeight="false" outlineLevel="0" collapsed="false">
      <c r="A29" s="5" t="n">
        <v>20</v>
      </c>
      <c r="B29" s="6" t="s">
        <v>102</v>
      </c>
      <c r="C29" s="7" t="n">
        <v>1700</v>
      </c>
      <c r="D29" s="8" t="n">
        <v>1</v>
      </c>
      <c r="E29" s="6" t="s">
        <v>103</v>
      </c>
      <c r="F29" s="9" t="n">
        <f aca="false">C29*D29</f>
        <v>1700</v>
      </c>
      <c r="G29" s="10" t="s">
        <v>104</v>
      </c>
      <c r="H29" s="5" t="s">
        <v>19</v>
      </c>
      <c r="I29" s="11" t="s">
        <v>20</v>
      </c>
      <c r="J29" s="6" t="s">
        <v>82</v>
      </c>
      <c r="K29" s="5" t="s">
        <v>105</v>
      </c>
      <c r="L29" s="6"/>
    </row>
    <row r="30" customFormat="false" ht="20.85" hidden="false" customHeight="false" outlineLevel="0" collapsed="false">
      <c r="A30" s="5" t="n">
        <v>21</v>
      </c>
      <c r="B30" s="6" t="s">
        <v>106</v>
      </c>
      <c r="C30" s="7" t="n">
        <v>385</v>
      </c>
      <c r="D30" s="8" t="n">
        <v>1</v>
      </c>
      <c r="E30" s="6" t="s">
        <v>107</v>
      </c>
      <c r="F30" s="9" t="n">
        <f aca="false">C30*D30</f>
        <v>385</v>
      </c>
      <c r="G30" s="10" t="s">
        <v>108</v>
      </c>
      <c r="H30" s="5" t="s">
        <v>19</v>
      </c>
      <c r="I30" s="11" t="s">
        <v>20</v>
      </c>
      <c r="J30" s="6" t="s">
        <v>82</v>
      </c>
      <c r="K30" s="5" t="s">
        <v>109</v>
      </c>
      <c r="L30" s="6"/>
    </row>
    <row r="31" customFormat="false" ht="20.85" hidden="false" customHeight="false" outlineLevel="0" collapsed="false">
      <c r="A31" s="5" t="n">
        <v>22</v>
      </c>
      <c r="B31" s="6" t="s">
        <v>110</v>
      </c>
      <c r="C31" s="7" t="n">
        <v>1110</v>
      </c>
      <c r="D31" s="8" t="n">
        <v>1</v>
      </c>
      <c r="E31" s="6" t="s">
        <v>111</v>
      </c>
      <c r="F31" s="9" t="n">
        <f aca="false">C31*D31</f>
        <v>1110</v>
      </c>
      <c r="G31" s="10" t="s">
        <v>112</v>
      </c>
      <c r="H31" s="5" t="s">
        <v>19</v>
      </c>
      <c r="I31" s="11" t="s">
        <v>20</v>
      </c>
      <c r="J31" s="6" t="s">
        <v>82</v>
      </c>
      <c r="K31" s="5" t="s">
        <v>113</v>
      </c>
      <c r="L31" s="6"/>
    </row>
    <row r="32" customFormat="false" ht="20.85" hidden="false" customHeight="false" outlineLevel="0" collapsed="false">
      <c r="A32" s="5" t="n">
        <v>23</v>
      </c>
      <c r="B32" s="6" t="s">
        <v>114</v>
      </c>
      <c r="C32" s="7" t="n">
        <v>110</v>
      </c>
      <c r="D32" s="8" t="n">
        <v>5</v>
      </c>
      <c r="E32" s="6" t="s">
        <v>115</v>
      </c>
      <c r="F32" s="9" t="n">
        <f aca="false">C32*D32</f>
        <v>550</v>
      </c>
      <c r="G32" s="10" t="s">
        <v>116</v>
      </c>
      <c r="H32" s="5" t="s">
        <v>19</v>
      </c>
      <c r="I32" s="11" t="s">
        <v>20</v>
      </c>
      <c r="J32" s="6" t="s">
        <v>82</v>
      </c>
      <c r="K32" s="5" t="s">
        <v>113</v>
      </c>
      <c r="L32" s="6" t="s">
        <v>117</v>
      </c>
    </row>
    <row r="33" customFormat="false" ht="20.85" hidden="false" customHeight="false" outlineLevel="0" collapsed="false">
      <c r="A33" s="5" t="n">
        <v>24</v>
      </c>
      <c r="B33" s="6" t="s">
        <v>118</v>
      </c>
      <c r="C33" s="7" t="n">
        <v>1760</v>
      </c>
      <c r="D33" s="8" t="n">
        <v>2</v>
      </c>
      <c r="E33" s="6" t="s">
        <v>119</v>
      </c>
      <c r="F33" s="9" t="n">
        <f aca="false">C33*D33</f>
        <v>3520</v>
      </c>
      <c r="G33" s="10" t="s">
        <v>120</v>
      </c>
      <c r="H33" s="5" t="s">
        <v>19</v>
      </c>
      <c r="I33" s="11" t="s">
        <v>20</v>
      </c>
      <c r="J33" s="6" t="s">
        <v>82</v>
      </c>
      <c r="K33" s="5" t="s">
        <v>121</v>
      </c>
      <c r="L33" s="6"/>
    </row>
    <row r="34" customFormat="false" ht="20.85" hidden="false" customHeight="false" outlineLevel="0" collapsed="false">
      <c r="A34" s="5" t="n">
        <v>25</v>
      </c>
      <c r="B34" s="6" t="s">
        <v>122</v>
      </c>
      <c r="C34" s="7" t="n">
        <v>1760</v>
      </c>
      <c r="D34" s="8" t="n">
        <v>2</v>
      </c>
      <c r="E34" s="6" t="s">
        <v>123</v>
      </c>
      <c r="F34" s="9" t="n">
        <f aca="false">C34*D34</f>
        <v>3520</v>
      </c>
      <c r="G34" s="10" t="s">
        <v>124</v>
      </c>
      <c r="H34" s="5" t="s">
        <v>19</v>
      </c>
      <c r="I34" s="11" t="s">
        <v>20</v>
      </c>
      <c r="J34" s="6" t="s">
        <v>82</v>
      </c>
      <c r="K34" s="5" t="s">
        <v>121</v>
      </c>
      <c r="L34" s="6"/>
    </row>
    <row r="35" customFormat="false" ht="30.55" hidden="false" customHeight="false" outlineLevel="0" collapsed="false">
      <c r="A35" s="5" t="n">
        <v>26</v>
      </c>
      <c r="B35" s="6" t="s">
        <v>125</v>
      </c>
      <c r="C35" s="7" t="n">
        <v>1620</v>
      </c>
      <c r="D35" s="8" t="n">
        <v>8</v>
      </c>
      <c r="E35" s="6" t="s">
        <v>126</v>
      </c>
      <c r="F35" s="9" t="n">
        <f aca="false">C35*D35</f>
        <v>12960</v>
      </c>
      <c r="G35" s="10" t="s">
        <v>127</v>
      </c>
      <c r="H35" s="5" t="s">
        <v>70</v>
      </c>
      <c r="I35" s="11" t="s">
        <v>20</v>
      </c>
      <c r="J35" s="6" t="s">
        <v>82</v>
      </c>
      <c r="K35" s="5" t="s">
        <v>128</v>
      </c>
      <c r="L35" s="6"/>
    </row>
    <row r="36" customFormat="false" ht="20.85" hidden="false" customHeight="false" outlineLevel="0" collapsed="false">
      <c r="A36" s="5" t="n">
        <v>27</v>
      </c>
      <c r="B36" s="6" t="s">
        <v>129</v>
      </c>
      <c r="C36" s="7" t="n">
        <v>1529</v>
      </c>
      <c r="D36" s="8" t="n">
        <v>2</v>
      </c>
      <c r="E36" s="6" t="s">
        <v>130</v>
      </c>
      <c r="F36" s="9" t="n">
        <f aca="false">C36*D36</f>
        <v>3058</v>
      </c>
      <c r="G36" s="10" t="s">
        <v>131</v>
      </c>
      <c r="H36" s="5" t="s">
        <v>70</v>
      </c>
      <c r="I36" s="11" t="s">
        <v>20</v>
      </c>
      <c r="J36" s="6" t="s">
        <v>82</v>
      </c>
      <c r="K36" s="5" t="s">
        <v>132</v>
      </c>
      <c r="L36" s="6"/>
    </row>
    <row r="37" customFormat="false" ht="20.85" hidden="false" customHeight="false" outlineLevel="0" collapsed="false">
      <c r="A37" s="5" t="n">
        <v>28</v>
      </c>
      <c r="B37" s="6" t="s">
        <v>129</v>
      </c>
      <c r="C37" s="7" t="n">
        <v>1529</v>
      </c>
      <c r="D37" s="8" t="n">
        <v>1</v>
      </c>
      <c r="E37" s="6" t="s">
        <v>133</v>
      </c>
      <c r="F37" s="9" t="n">
        <f aca="false">C37*D37</f>
        <v>1529</v>
      </c>
      <c r="G37" s="10" t="s">
        <v>131</v>
      </c>
      <c r="H37" s="5" t="s">
        <v>70</v>
      </c>
      <c r="I37" s="11" t="s">
        <v>20</v>
      </c>
      <c r="J37" s="6" t="s">
        <v>82</v>
      </c>
      <c r="K37" s="5" t="s">
        <v>134</v>
      </c>
      <c r="L37" s="6" t="s">
        <v>135</v>
      </c>
    </row>
    <row r="38" customFormat="false" ht="15" hidden="false" customHeight="false" outlineLevel="0" collapsed="false">
      <c r="A38" s="5" t="n">
        <v>29</v>
      </c>
      <c r="B38" s="6" t="s">
        <v>136</v>
      </c>
      <c r="C38" s="7" t="n">
        <v>6600</v>
      </c>
      <c r="D38" s="8" t="n">
        <v>1</v>
      </c>
      <c r="E38" s="6" t="s">
        <v>137</v>
      </c>
      <c r="F38" s="9" t="n">
        <f aca="false">C38*D38</f>
        <v>6600</v>
      </c>
      <c r="G38" s="10" t="s">
        <v>138</v>
      </c>
      <c r="H38" s="5" t="s">
        <v>70</v>
      </c>
      <c r="I38" s="11" t="s">
        <v>20</v>
      </c>
      <c r="J38" s="6" t="s">
        <v>82</v>
      </c>
      <c r="K38" s="5" t="s">
        <v>139</v>
      </c>
      <c r="L38" s="6"/>
    </row>
    <row r="39" customFormat="false" ht="15" hidden="false" customHeight="false" outlineLevel="0" collapsed="false">
      <c r="A39" s="5" t="n">
        <v>30</v>
      </c>
      <c r="B39" s="6" t="s">
        <v>140</v>
      </c>
      <c r="C39" s="7" t="n">
        <v>4059</v>
      </c>
      <c r="D39" s="8" t="n">
        <v>1</v>
      </c>
      <c r="E39" s="6" t="s">
        <v>141</v>
      </c>
      <c r="F39" s="9" t="n">
        <f aca="false">C39*D39</f>
        <v>4059</v>
      </c>
      <c r="G39" s="10" t="s">
        <v>142</v>
      </c>
      <c r="H39" s="5" t="s">
        <v>70</v>
      </c>
      <c r="I39" s="11" t="s">
        <v>20</v>
      </c>
      <c r="J39" s="6" t="s">
        <v>82</v>
      </c>
      <c r="K39" s="5" t="s">
        <v>143</v>
      </c>
      <c r="L39" s="6"/>
    </row>
    <row r="40" customFormat="false" ht="20.85" hidden="false" customHeight="false" outlineLevel="0" collapsed="false">
      <c r="A40" s="5" t="n">
        <v>31</v>
      </c>
      <c r="B40" s="6" t="s">
        <v>144</v>
      </c>
      <c r="C40" s="7" t="n">
        <v>438</v>
      </c>
      <c r="D40" s="8" t="n">
        <v>1</v>
      </c>
      <c r="E40" s="6" t="s">
        <v>145</v>
      </c>
      <c r="F40" s="9" t="n">
        <f aca="false">C40*D40</f>
        <v>438</v>
      </c>
      <c r="G40" s="10" t="s">
        <v>146</v>
      </c>
      <c r="H40" s="5" t="s">
        <v>70</v>
      </c>
      <c r="I40" s="11" t="s">
        <v>20</v>
      </c>
      <c r="J40" s="6" t="s">
        <v>82</v>
      </c>
      <c r="K40" s="5" t="s">
        <v>147</v>
      </c>
      <c r="L40" s="6"/>
    </row>
    <row r="41" customFormat="false" ht="30.55" hidden="false" customHeight="false" outlineLevel="0" collapsed="false">
      <c r="A41" s="5" t="n">
        <v>32</v>
      </c>
      <c r="B41" s="6" t="s">
        <v>148</v>
      </c>
      <c r="C41" s="7" t="n">
        <v>14300</v>
      </c>
      <c r="D41" s="8" t="n">
        <v>1</v>
      </c>
      <c r="E41" s="6" t="s">
        <v>149</v>
      </c>
      <c r="F41" s="9" t="n">
        <f aca="false">C41*D41</f>
        <v>14300</v>
      </c>
      <c r="G41" s="10" t="s">
        <v>150</v>
      </c>
      <c r="H41" s="5" t="s">
        <v>70</v>
      </c>
      <c r="I41" s="11" t="s">
        <v>20</v>
      </c>
      <c r="J41" s="6" t="s">
        <v>82</v>
      </c>
      <c r="K41" s="5" t="s">
        <v>151</v>
      </c>
      <c r="L41" s="6"/>
    </row>
    <row r="42" customFormat="false" ht="40.25" hidden="false" customHeight="false" outlineLevel="0" collapsed="false">
      <c r="A42" s="5" t="n">
        <v>33</v>
      </c>
      <c r="B42" s="6" t="s">
        <v>152</v>
      </c>
      <c r="C42" s="7" t="n">
        <v>1710</v>
      </c>
      <c r="D42" s="8" t="n">
        <v>2</v>
      </c>
      <c r="E42" s="6" t="s">
        <v>153</v>
      </c>
      <c r="F42" s="9" t="n">
        <f aca="false">C42*D42</f>
        <v>3420</v>
      </c>
      <c r="G42" s="10" t="s">
        <v>154</v>
      </c>
      <c r="H42" s="5" t="s">
        <v>70</v>
      </c>
      <c r="I42" s="11" t="s">
        <v>20</v>
      </c>
      <c r="J42" s="6" t="s">
        <v>82</v>
      </c>
      <c r="K42" s="5" t="s">
        <v>155</v>
      </c>
      <c r="L42" s="6"/>
    </row>
    <row r="43" customFormat="false" ht="20.85" hidden="false" customHeight="false" outlineLevel="0" collapsed="false">
      <c r="A43" s="5" t="n">
        <v>34</v>
      </c>
      <c r="B43" s="6" t="s">
        <v>156</v>
      </c>
      <c r="C43" s="7" t="n">
        <v>1440</v>
      </c>
      <c r="D43" s="8" t="n">
        <v>1</v>
      </c>
      <c r="E43" s="6" t="s">
        <v>157</v>
      </c>
      <c r="F43" s="9" t="n">
        <f aca="false">C43*D43</f>
        <v>1440</v>
      </c>
      <c r="G43" s="10" t="s">
        <v>158</v>
      </c>
      <c r="H43" s="5" t="s">
        <v>70</v>
      </c>
      <c r="I43" s="11" t="s">
        <v>20</v>
      </c>
      <c r="J43" s="6" t="s">
        <v>82</v>
      </c>
      <c r="K43" s="5" t="s">
        <v>159</v>
      </c>
      <c r="L43" s="6"/>
    </row>
    <row r="44" customFormat="false" ht="20.85" hidden="false" customHeight="false" outlineLevel="0" collapsed="false">
      <c r="A44" s="5" t="n">
        <v>35</v>
      </c>
      <c r="B44" s="6" t="s">
        <v>160</v>
      </c>
      <c r="C44" s="7" t="n">
        <v>2670</v>
      </c>
      <c r="D44" s="8" t="n">
        <v>1</v>
      </c>
      <c r="E44" s="6" t="s">
        <v>161</v>
      </c>
      <c r="F44" s="9" t="n">
        <f aca="false">C44*D44</f>
        <v>2670</v>
      </c>
      <c r="G44" s="10" t="s">
        <v>162</v>
      </c>
      <c r="H44" s="5" t="s">
        <v>70</v>
      </c>
      <c r="I44" s="11" t="s">
        <v>20</v>
      </c>
      <c r="J44" s="6" t="s">
        <v>82</v>
      </c>
      <c r="K44" s="5" t="s">
        <v>163</v>
      </c>
      <c r="L44" s="6"/>
    </row>
    <row r="45" customFormat="false" ht="20.85" hidden="false" customHeight="false" outlineLevel="0" collapsed="false">
      <c r="A45" s="5" t="n">
        <v>36</v>
      </c>
      <c r="B45" s="6" t="s">
        <v>164</v>
      </c>
      <c r="C45" s="7" t="n">
        <v>1190</v>
      </c>
      <c r="D45" s="8" t="n">
        <v>1</v>
      </c>
      <c r="E45" s="6" t="s">
        <v>165</v>
      </c>
      <c r="F45" s="9" t="n">
        <f aca="false">C45*D45</f>
        <v>1190</v>
      </c>
      <c r="G45" s="10" t="s">
        <v>166</v>
      </c>
      <c r="H45" s="5" t="s">
        <v>70</v>
      </c>
      <c r="I45" s="11" t="s">
        <v>20</v>
      </c>
      <c r="J45" s="6" t="s">
        <v>82</v>
      </c>
      <c r="K45" s="5" t="s">
        <v>167</v>
      </c>
      <c r="L45" s="6"/>
    </row>
    <row r="46" customFormat="false" ht="15" hidden="false" customHeight="false" outlineLevel="0" collapsed="false">
      <c r="A46" s="5" t="n">
        <v>37</v>
      </c>
      <c r="B46" s="6" t="s">
        <v>168</v>
      </c>
      <c r="C46" s="7" t="n">
        <v>1080</v>
      </c>
      <c r="D46" s="8" t="n">
        <v>1</v>
      </c>
      <c r="E46" s="6" t="s">
        <v>169</v>
      </c>
      <c r="F46" s="9" t="n">
        <f aca="false">C46*D46</f>
        <v>1080</v>
      </c>
      <c r="G46" s="10" t="s">
        <v>170</v>
      </c>
      <c r="H46" s="5" t="s">
        <v>70</v>
      </c>
      <c r="I46" s="11" t="s">
        <v>20</v>
      </c>
      <c r="J46" s="6" t="s">
        <v>82</v>
      </c>
      <c r="K46" s="5" t="s">
        <v>171</v>
      </c>
      <c r="L46" s="6" t="s">
        <v>172</v>
      </c>
    </row>
    <row r="47" customFormat="false" ht="20.85" hidden="false" customHeight="false" outlineLevel="0" collapsed="false">
      <c r="A47" s="5" t="n">
        <v>38</v>
      </c>
      <c r="B47" s="6" t="s">
        <v>173</v>
      </c>
      <c r="C47" s="7" t="n">
        <v>3850</v>
      </c>
      <c r="D47" s="8" t="n">
        <v>1</v>
      </c>
      <c r="E47" s="6" t="s">
        <v>174</v>
      </c>
      <c r="F47" s="9" t="n">
        <f aca="false">C47*D47</f>
        <v>3850</v>
      </c>
      <c r="G47" s="10" t="s">
        <v>175</v>
      </c>
      <c r="H47" s="5" t="s">
        <v>70</v>
      </c>
      <c r="I47" s="11" t="s">
        <v>20</v>
      </c>
      <c r="J47" s="6" t="s">
        <v>82</v>
      </c>
      <c r="K47" s="5" t="s">
        <v>176</v>
      </c>
      <c r="L47" s="6" t="s">
        <v>177</v>
      </c>
    </row>
    <row r="48" customFormat="false" ht="20.85" hidden="false" customHeight="false" outlineLevel="0" collapsed="false">
      <c r="A48" s="5" t="n">
        <v>39</v>
      </c>
      <c r="B48" s="6" t="s">
        <v>178</v>
      </c>
      <c r="C48" s="7" t="n">
        <v>7600</v>
      </c>
      <c r="D48" s="8" t="n">
        <v>1</v>
      </c>
      <c r="E48" s="6" t="s">
        <v>179</v>
      </c>
      <c r="F48" s="9" t="n">
        <f aca="false">C48*D48</f>
        <v>7600</v>
      </c>
      <c r="G48" s="10" t="s">
        <v>180</v>
      </c>
      <c r="H48" s="5" t="s">
        <v>181</v>
      </c>
      <c r="I48" s="11" t="s">
        <v>20</v>
      </c>
      <c r="J48" s="6" t="s">
        <v>82</v>
      </c>
      <c r="K48" s="5" t="s">
        <v>182</v>
      </c>
      <c r="L48" s="6"/>
    </row>
    <row r="49" customFormat="false" ht="15" hidden="false" customHeight="false" outlineLevel="0" collapsed="false">
      <c r="A49" s="5" t="n">
        <v>40</v>
      </c>
      <c r="B49" s="6" t="s">
        <v>183</v>
      </c>
      <c r="C49" s="7" t="n">
        <v>4500</v>
      </c>
      <c r="D49" s="8" t="n">
        <v>1</v>
      </c>
      <c r="E49" s="6" t="s">
        <v>184</v>
      </c>
      <c r="F49" s="9" t="n">
        <f aca="false">C49*D49</f>
        <v>4500</v>
      </c>
      <c r="G49" s="10" t="s">
        <v>185</v>
      </c>
      <c r="H49" s="5" t="s">
        <v>181</v>
      </c>
      <c r="I49" s="11" t="s">
        <v>20</v>
      </c>
      <c r="J49" s="6" t="s">
        <v>82</v>
      </c>
      <c r="K49" s="5" t="s">
        <v>186</v>
      </c>
      <c r="L49" s="6"/>
    </row>
    <row r="50" customFormat="false" ht="20.85" hidden="false" customHeight="false" outlineLevel="0" collapsed="false">
      <c r="A50" s="5" t="n">
        <v>41</v>
      </c>
      <c r="B50" s="6" t="s">
        <v>187</v>
      </c>
      <c r="C50" s="7" t="n">
        <v>3960</v>
      </c>
      <c r="D50" s="8" t="n">
        <v>1</v>
      </c>
      <c r="E50" s="6" t="s">
        <v>188</v>
      </c>
      <c r="F50" s="9" t="n">
        <f aca="false">C50*D50</f>
        <v>3960</v>
      </c>
      <c r="G50" s="10" t="s">
        <v>189</v>
      </c>
      <c r="H50" s="5" t="s">
        <v>181</v>
      </c>
      <c r="I50" s="11" t="s">
        <v>20</v>
      </c>
      <c r="J50" s="6" t="s">
        <v>82</v>
      </c>
      <c r="K50" s="5" t="s">
        <v>190</v>
      </c>
      <c r="L50" s="6"/>
    </row>
    <row r="51" customFormat="false" ht="20.85" hidden="false" customHeight="false" outlineLevel="0" collapsed="false">
      <c r="A51" s="5" t="n">
        <v>42</v>
      </c>
      <c r="B51" s="6" t="s">
        <v>191</v>
      </c>
      <c r="C51" s="7" t="n">
        <v>13400</v>
      </c>
      <c r="D51" s="8" t="n">
        <v>1</v>
      </c>
      <c r="E51" s="6" t="s">
        <v>192</v>
      </c>
      <c r="F51" s="9" t="n">
        <f aca="false">C51*D51</f>
        <v>13400</v>
      </c>
      <c r="G51" s="10" t="s">
        <v>193</v>
      </c>
      <c r="H51" s="5" t="s">
        <v>181</v>
      </c>
      <c r="I51" s="11" t="s">
        <v>20</v>
      </c>
      <c r="J51" s="6" t="s">
        <v>82</v>
      </c>
      <c r="K51" s="5" t="s">
        <v>194</v>
      </c>
      <c r="L51" s="6"/>
    </row>
    <row r="52" customFormat="false" ht="20.85" hidden="false" customHeight="false" outlineLevel="0" collapsed="false">
      <c r="A52" s="12" t="n">
        <v>43</v>
      </c>
      <c r="B52" s="13" t="s">
        <v>195</v>
      </c>
      <c r="C52" s="14" t="n">
        <f aca="false">IF(SUMIFS(F23:F51,I23:I51,"O")/1.1&lt;60000,3000,0)</f>
        <v>0</v>
      </c>
      <c r="D52" s="15" t="n">
        <v>1</v>
      </c>
      <c r="E52" s="16" t="s">
        <v>75</v>
      </c>
      <c r="F52" s="14" t="n">
        <f aca="false">C52*D52</f>
        <v>0</v>
      </c>
      <c r="G52" s="16"/>
      <c r="H52" s="12" t="s">
        <v>70</v>
      </c>
      <c r="I52" s="15" t="s">
        <v>20</v>
      </c>
      <c r="J52" s="16"/>
      <c r="K52" s="12"/>
      <c r="L52" s="13" t="s">
        <v>196</v>
      </c>
    </row>
    <row r="53" customFormat="false" ht="15" hidden="false" customHeight="false" outlineLevel="0" collapsed="false">
      <c r="A53" s="17"/>
      <c r="B53" s="18" t="s">
        <v>197</v>
      </c>
      <c r="C53" s="17"/>
      <c r="D53" s="17"/>
      <c r="E53" s="17"/>
      <c r="F53" s="19" t="n">
        <f aca="false">SUMIFS(F23:F52,I23:I52,"O")</f>
        <v>110093</v>
      </c>
      <c r="G53" s="17"/>
      <c r="H53" s="17"/>
      <c r="I53" s="17"/>
      <c r="J53" s="17"/>
      <c r="K53" s="17"/>
      <c r="L53" s="17"/>
    </row>
    <row r="55" customFormat="false" ht="19.5" hidden="false" customHeight="true" outlineLevel="0" collapsed="false">
      <c r="A55" s="4" t="s">
        <v>198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30.55" hidden="false" customHeight="false" outlineLevel="0" collapsed="false">
      <c r="A56" s="5" t="n">
        <v>44</v>
      </c>
      <c r="B56" s="6" t="s">
        <v>199</v>
      </c>
      <c r="C56" s="7" t="n">
        <v>9600</v>
      </c>
      <c r="D56" s="8" t="n">
        <v>2</v>
      </c>
      <c r="E56" s="6" t="s">
        <v>200</v>
      </c>
      <c r="F56" s="9" t="n">
        <f aca="false">C56*D56</f>
        <v>19200</v>
      </c>
      <c r="G56" s="10" t="s">
        <v>201</v>
      </c>
      <c r="H56" s="5" t="s">
        <v>19</v>
      </c>
      <c r="I56" s="11" t="s">
        <v>20</v>
      </c>
      <c r="J56" s="6" t="s">
        <v>202</v>
      </c>
      <c r="K56" s="5" t="s">
        <v>203</v>
      </c>
      <c r="L56" s="6"/>
    </row>
    <row r="57" customFormat="false" ht="15" hidden="false" customHeight="false" outlineLevel="0" collapsed="false">
      <c r="A57" s="5" t="n">
        <v>45</v>
      </c>
      <c r="B57" s="6" t="s">
        <v>204</v>
      </c>
      <c r="C57" s="7" t="n">
        <v>2700</v>
      </c>
      <c r="D57" s="8" t="n">
        <v>1</v>
      </c>
      <c r="E57" s="6" t="s">
        <v>205</v>
      </c>
      <c r="F57" s="9" t="n">
        <f aca="false">C57*D57</f>
        <v>2700</v>
      </c>
      <c r="G57" s="10" t="s">
        <v>206</v>
      </c>
      <c r="H57" s="5" t="s">
        <v>19</v>
      </c>
      <c r="I57" s="11" t="s">
        <v>20</v>
      </c>
      <c r="J57" s="6" t="s">
        <v>207</v>
      </c>
      <c r="K57" s="5" t="s">
        <v>208</v>
      </c>
      <c r="L57" s="6"/>
    </row>
    <row r="58" customFormat="false" ht="30.55" hidden="false" customHeight="false" outlineLevel="0" collapsed="false">
      <c r="A58" s="5" t="n">
        <v>46</v>
      </c>
      <c r="B58" s="6" t="s">
        <v>209</v>
      </c>
      <c r="C58" s="7" t="n">
        <v>2100</v>
      </c>
      <c r="D58" s="8" t="n">
        <v>3</v>
      </c>
      <c r="E58" s="6" t="s">
        <v>210</v>
      </c>
      <c r="F58" s="9" t="n">
        <f aca="false">C58*D58</f>
        <v>6300</v>
      </c>
      <c r="G58" s="10" t="s">
        <v>211</v>
      </c>
      <c r="H58" s="5" t="s">
        <v>19</v>
      </c>
      <c r="I58" s="11" t="s">
        <v>20</v>
      </c>
      <c r="J58" s="6" t="s">
        <v>212</v>
      </c>
      <c r="K58" s="5" t="s">
        <v>213</v>
      </c>
      <c r="L58" s="6" t="s">
        <v>214</v>
      </c>
    </row>
    <row r="59" customFormat="false" ht="20.85" hidden="false" customHeight="false" outlineLevel="0" collapsed="false">
      <c r="A59" s="5" t="n">
        <v>47</v>
      </c>
      <c r="B59" s="6" t="s">
        <v>215</v>
      </c>
      <c r="C59" s="7" t="n">
        <v>1500</v>
      </c>
      <c r="D59" s="8" t="n">
        <v>1</v>
      </c>
      <c r="E59" s="6" t="s">
        <v>216</v>
      </c>
      <c r="F59" s="9" t="n">
        <f aca="false">C59*D59</f>
        <v>1500</v>
      </c>
      <c r="G59" s="10" t="s">
        <v>217</v>
      </c>
      <c r="H59" s="5" t="s">
        <v>19</v>
      </c>
      <c r="I59" s="11" t="s">
        <v>20</v>
      </c>
      <c r="J59" s="6" t="s">
        <v>212</v>
      </c>
      <c r="K59" s="5" t="s">
        <v>213</v>
      </c>
      <c r="L59" s="6" t="s">
        <v>218</v>
      </c>
    </row>
    <row r="60" customFormat="false" ht="20.85" hidden="false" customHeight="false" outlineLevel="0" collapsed="false">
      <c r="A60" s="5" t="n">
        <v>48</v>
      </c>
      <c r="B60" s="6" t="s">
        <v>219</v>
      </c>
      <c r="C60" s="7" t="n">
        <v>130</v>
      </c>
      <c r="D60" s="8" t="n">
        <v>34</v>
      </c>
      <c r="E60" s="6" t="s">
        <v>220</v>
      </c>
      <c r="F60" s="9" t="n">
        <f aca="false">C60*D60</f>
        <v>4420</v>
      </c>
      <c r="G60" s="10" t="s">
        <v>221</v>
      </c>
      <c r="H60" s="5" t="s">
        <v>19</v>
      </c>
      <c r="I60" s="11" t="s">
        <v>20</v>
      </c>
      <c r="J60" s="6" t="s">
        <v>222</v>
      </c>
      <c r="K60" s="5" t="s">
        <v>223</v>
      </c>
      <c r="L60" s="6"/>
    </row>
    <row r="61" customFormat="false" ht="20.85" hidden="false" customHeight="false" outlineLevel="0" collapsed="false">
      <c r="A61" s="5" t="n">
        <v>49</v>
      </c>
      <c r="B61" s="6" t="s">
        <v>224</v>
      </c>
      <c r="C61" s="7" t="n">
        <v>60</v>
      </c>
      <c r="D61" s="8" t="n">
        <v>40</v>
      </c>
      <c r="E61" s="6" t="s">
        <v>225</v>
      </c>
      <c r="F61" s="9" t="n">
        <f aca="false">C61*D61</f>
        <v>2400</v>
      </c>
      <c r="G61" s="10" t="s">
        <v>221</v>
      </c>
      <c r="H61" s="5" t="s">
        <v>19</v>
      </c>
      <c r="I61" s="11" t="s">
        <v>20</v>
      </c>
      <c r="J61" s="6" t="s">
        <v>222</v>
      </c>
      <c r="K61" s="5" t="s">
        <v>226</v>
      </c>
      <c r="L61" s="6"/>
    </row>
    <row r="62" customFormat="false" ht="40.25" hidden="false" customHeight="false" outlineLevel="0" collapsed="false">
      <c r="A62" s="5" t="n">
        <v>50</v>
      </c>
      <c r="B62" s="6" t="s">
        <v>227</v>
      </c>
      <c r="C62" s="7" t="n">
        <v>60</v>
      </c>
      <c r="D62" s="8" t="n">
        <v>50</v>
      </c>
      <c r="E62" s="6" t="s">
        <v>228</v>
      </c>
      <c r="F62" s="9" t="n">
        <f aca="false">C62*D62</f>
        <v>3000</v>
      </c>
      <c r="G62" s="10" t="s">
        <v>221</v>
      </c>
      <c r="H62" s="5" t="s">
        <v>19</v>
      </c>
      <c r="I62" s="11" t="s">
        <v>20</v>
      </c>
      <c r="J62" s="6" t="s">
        <v>222</v>
      </c>
      <c r="K62" s="5" t="s">
        <v>229</v>
      </c>
      <c r="L62" s="6"/>
    </row>
    <row r="63" customFormat="false" ht="20.85" hidden="false" customHeight="false" outlineLevel="0" collapsed="false">
      <c r="A63" s="5" t="n">
        <v>51</v>
      </c>
      <c r="B63" s="6" t="s">
        <v>230</v>
      </c>
      <c r="C63" s="7" t="n">
        <v>40</v>
      </c>
      <c r="D63" s="8" t="n">
        <v>20</v>
      </c>
      <c r="E63" s="6" t="s">
        <v>231</v>
      </c>
      <c r="F63" s="9" t="n">
        <f aca="false">C63*D63</f>
        <v>800</v>
      </c>
      <c r="G63" s="10" t="s">
        <v>221</v>
      </c>
      <c r="H63" s="5" t="s">
        <v>19</v>
      </c>
      <c r="I63" s="11" t="s">
        <v>20</v>
      </c>
      <c r="J63" s="6" t="s">
        <v>222</v>
      </c>
      <c r="K63" s="5" t="s">
        <v>232</v>
      </c>
      <c r="L63" s="6"/>
    </row>
    <row r="64" customFormat="false" ht="20.85" hidden="false" customHeight="false" outlineLevel="0" collapsed="false">
      <c r="A64" s="5" t="n">
        <v>52</v>
      </c>
      <c r="B64" s="6" t="s">
        <v>233</v>
      </c>
      <c r="C64" s="7" t="n">
        <v>10</v>
      </c>
      <c r="D64" s="8" t="n">
        <v>60</v>
      </c>
      <c r="E64" s="6" t="s">
        <v>234</v>
      </c>
      <c r="F64" s="9" t="n">
        <f aca="false">C64*D64</f>
        <v>600</v>
      </c>
      <c r="G64" s="10" t="s">
        <v>221</v>
      </c>
      <c r="H64" s="5" t="s">
        <v>19</v>
      </c>
      <c r="I64" s="11" t="s">
        <v>20</v>
      </c>
      <c r="J64" s="6" t="s">
        <v>222</v>
      </c>
      <c r="K64" s="5" t="s">
        <v>235</v>
      </c>
      <c r="L64" s="6"/>
    </row>
    <row r="65" customFormat="false" ht="30.55" hidden="false" customHeight="false" outlineLevel="0" collapsed="false">
      <c r="A65" s="5" t="n">
        <v>53</v>
      </c>
      <c r="B65" s="6" t="s">
        <v>236</v>
      </c>
      <c r="C65" s="7" t="n">
        <v>200</v>
      </c>
      <c r="D65" s="8" t="n">
        <v>6</v>
      </c>
      <c r="E65" s="6" t="s">
        <v>237</v>
      </c>
      <c r="F65" s="9" t="n">
        <f aca="false">C65*D65</f>
        <v>1200</v>
      </c>
      <c r="G65" s="10" t="s">
        <v>221</v>
      </c>
      <c r="H65" s="5" t="s">
        <v>19</v>
      </c>
      <c r="I65" s="11" t="s">
        <v>20</v>
      </c>
      <c r="J65" s="6" t="s">
        <v>222</v>
      </c>
      <c r="K65" s="5" t="s">
        <v>238</v>
      </c>
      <c r="L65" s="6"/>
    </row>
    <row r="66" customFormat="false" ht="20.85" hidden="false" customHeight="false" outlineLevel="0" collapsed="false">
      <c r="A66" s="5" t="n">
        <v>54</v>
      </c>
      <c r="B66" s="6" t="s">
        <v>239</v>
      </c>
      <c r="C66" s="7" t="n">
        <v>40</v>
      </c>
      <c r="D66" s="8" t="n">
        <v>40</v>
      </c>
      <c r="E66" s="6" t="s">
        <v>240</v>
      </c>
      <c r="F66" s="9" t="n">
        <f aca="false">C66*D66</f>
        <v>1600</v>
      </c>
      <c r="G66" s="10" t="s">
        <v>241</v>
      </c>
      <c r="H66" s="5" t="s">
        <v>19</v>
      </c>
      <c r="I66" s="11" t="s">
        <v>20</v>
      </c>
      <c r="J66" s="6" t="s">
        <v>222</v>
      </c>
      <c r="K66" s="5" t="s">
        <v>242</v>
      </c>
      <c r="L66" s="6" t="s">
        <v>243</v>
      </c>
    </row>
    <row r="67" customFormat="false" ht="20.85" hidden="false" customHeight="false" outlineLevel="0" collapsed="false">
      <c r="A67" s="5" t="n">
        <v>55</v>
      </c>
      <c r="B67" s="6" t="s">
        <v>244</v>
      </c>
      <c r="C67" s="7" t="n">
        <v>50</v>
      </c>
      <c r="D67" s="8" t="n">
        <v>8</v>
      </c>
      <c r="E67" s="6" t="s">
        <v>245</v>
      </c>
      <c r="F67" s="9" t="n">
        <f aca="false">C67*D67</f>
        <v>400</v>
      </c>
      <c r="G67" s="10" t="s">
        <v>241</v>
      </c>
      <c r="H67" s="5" t="s">
        <v>19</v>
      </c>
      <c r="I67" s="11" t="s">
        <v>20</v>
      </c>
      <c r="J67" s="6" t="s">
        <v>222</v>
      </c>
      <c r="K67" s="5" t="s">
        <v>242</v>
      </c>
      <c r="L67" s="6" t="s">
        <v>243</v>
      </c>
    </row>
    <row r="68" customFormat="false" ht="20.85" hidden="false" customHeight="false" outlineLevel="0" collapsed="false">
      <c r="A68" s="5" t="n">
        <v>56</v>
      </c>
      <c r="B68" s="6" t="s">
        <v>246</v>
      </c>
      <c r="C68" s="7" t="n">
        <v>50</v>
      </c>
      <c r="D68" s="8" t="n">
        <v>8</v>
      </c>
      <c r="E68" s="6" t="s">
        <v>247</v>
      </c>
      <c r="F68" s="9" t="n">
        <f aca="false">C68*D68</f>
        <v>400</v>
      </c>
      <c r="G68" s="10" t="s">
        <v>241</v>
      </c>
      <c r="H68" s="5" t="s">
        <v>19</v>
      </c>
      <c r="I68" s="11" t="s">
        <v>20</v>
      </c>
      <c r="J68" s="6" t="s">
        <v>222</v>
      </c>
      <c r="K68" s="5" t="s">
        <v>242</v>
      </c>
      <c r="L68" s="6" t="s">
        <v>243</v>
      </c>
    </row>
    <row r="69" customFormat="false" ht="20.85" hidden="false" customHeight="false" outlineLevel="0" collapsed="false">
      <c r="A69" s="5" t="n">
        <v>57</v>
      </c>
      <c r="B69" s="6" t="s">
        <v>248</v>
      </c>
      <c r="C69" s="7" t="n">
        <v>60</v>
      </c>
      <c r="D69" s="8" t="n">
        <v>14</v>
      </c>
      <c r="E69" s="6" t="s">
        <v>249</v>
      </c>
      <c r="F69" s="9" t="n">
        <f aca="false">C69*D69</f>
        <v>840</v>
      </c>
      <c r="G69" s="10" t="s">
        <v>241</v>
      </c>
      <c r="H69" s="5" t="s">
        <v>19</v>
      </c>
      <c r="I69" s="11" t="s">
        <v>20</v>
      </c>
      <c r="J69" s="6" t="s">
        <v>222</v>
      </c>
      <c r="K69" s="5" t="s">
        <v>242</v>
      </c>
      <c r="L69" s="6" t="s">
        <v>243</v>
      </c>
    </row>
    <row r="70" customFormat="false" ht="20.85" hidden="false" customHeight="false" outlineLevel="0" collapsed="false">
      <c r="A70" s="5" t="n">
        <v>58</v>
      </c>
      <c r="B70" s="6" t="s">
        <v>250</v>
      </c>
      <c r="C70" s="7" t="n">
        <v>8750</v>
      </c>
      <c r="D70" s="8" t="n">
        <v>1</v>
      </c>
      <c r="E70" s="6" t="s">
        <v>251</v>
      </c>
      <c r="F70" s="9" t="n">
        <f aca="false">C70*D70</f>
        <v>8750</v>
      </c>
      <c r="G70" s="10" t="s">
        <v>252</v>
      </c>
      <c r="H70" s="5" t="s">
        <v>70</v>
      </c>
      <c r="I70" s="11" t="s">
        <v>20</v>
      </c>
      <c r="J70" s="6" t="s">
        <v>253</v>
      </c>
      <c r="K70" s="5" t="s">
        <v>254</v>
      </c>
      <c r="L70" s="6"/>
    </row>
    <row r="71" customFormat="false" ht="30.55" hidden="false" customHeight="false" outlineLevel="0" collapsed="false">
      <c r="A71" s="5" t="n">
        <v>59</v>
      </c>
      <c r="B71" s="6" t="s">
        <v>255</v>
      </c>
      <c r="C71" s="7" t="n">
        <v>2840</v>
      </c>
      <c r="D71" s="8" t="n">
        <v>1</v>
      </c>
      <c r="E71" s="6" t="s">
        <v>256</v>
      </c>
      <c r="F71" s="9" t="n">
        <f aca="false">C71*D71</f>
        <v>2840</v>
      </c>
      <c r="G71" s="10" t="s">
        <v>257</v>
      </c>
      <c r="H71" s="5" t="s">
        <v>70</v>
      </c>
      <c r="I71" s="11" t="s">
        <v>20</v>
      </c>
      <c r="J71" s="6" t="s">
        <v>258</v>
      </c>
      <c r="K71" s="5" t="s">
        <v>259</v>
      </c>
      <c r="L71" s="6" t="s">
        <v>260</v>
      </c>
    </row>
    <row r="72" customFormat="false" ht="15" hidden="false" customHeight="false" outlineLevel="0" collapsed="false">
      <c r="A72" s="5" t="n">
        <v>60</v>
      </c>
      <c r="B72" s="6" t="s">
        <v>261</v>
      </c>
      <c r="C72" s="7" t="n">
        <v>600</v>
      </c>
      <c r="D72" s="8" t="n">
        <v>1</v>
      </c>
      <c r="E72" s="6" t="s">
        <v>262</v>
      </c>
      <c r="F72" s="9" t="n">
        <f aca="false">C72*D72</f>
        <v>600</v>
      </c>
      <c r="G72" s="10" t="s">
        <v>221</v>
      </c>
      <c r="H72" s="5" t="s">
        <v>181</v>
      </c>
      <c r="I72" s="11" t="s">
        <v>20</v>
      </c>
      <c r="J72" s="6" t="s">
        <v>222</v>
      </c>
      <c r="K72" s="5" t="s">
        <v>263</v>
      </c>
      <c r="L72" s="6"/>
    </row>
    <row r="73" customFormat="false" ht="15" hidden="false" customHeight="false" outlineLevel="0" collapsed="false">
      <c r="A73" s="5" t="n">
        <v>61</v>
      </c>
      <c r="B73" s="6" t="s">
        <v>264</v>
      </c>
      <c r="C73" s="7" t="n">
        <v>600</v>
      </c>
      <c r="D73" s="8" t="n">
        <v>1</v>
      </c>
      <c r="E73" s="6" t="s">
        <v>265</v>
      </c>
      <c r="F73" s="9" t="n">
        <f aca="false">C73*D73</f>
        <v>600</v>
      </c>
      <c r="G73" s="10" t="s">
        <v>221</v>
      </c>
      <c r="H73" s="5" t="s">
        <v>181</v>
      </c>
      <c r="I73" s="11" t="s">
        <v>20</v>
      </c>
      <c r="J73" s="6" t="s">
        <v>222</v>
      </c>
      <c r="K73" s="5" t="s">
        <v>263</v>
      </c>
      <c r="L73" s="6"/>
    </row>
    <row r="74" customFormat="false" ht="15" hidden="false" customHeight="false" outlineLevel="0" collapsed="false">
      <c r="A74" s="12" t="n">
        <v>62</v>
      </c>
      <c r="B74" s="13" t="s">
        <v>266</v>
      </c>
      <c r="C74" s="20" t="n">
        <v>4000</v>
      </c>
      <c r="D74" s="15" t="n">
        <v>1</v>
      </c>
      <c r="E74" s="16" t="s">
        <v>75</v>
      </c>
      <c r="F74" s="14" t="n">
        <f aca="false">C74*D74</f>
        <v>4000</v>
      </c>
      <c r="G74" s="16"/>
      <c r="H74" s="12" t="s">
        <v>19</v>
      </c>
      <c r="I74" s="15" t="s">
        <v>20</v>
      </c>
      <c r="J74" s="16"/>
      <c r="K74" s="12" t="s">
        <v>203</v>
      </c>
      <c r="L74" s="13" t="s">
        <v>267</v>
      </c>
    </row>
    <row r="75" customFormat="false" ht="15" hidden="false" customHeight="false" outlineLevel="0" collapsed="false">
      <c r="A75" s="12" t="n">
        <v>63</v>
      </c>
      <c r="B75" s="13" t="s">
        <v>268</v>
      </c>
      <c r="C75" s="20" t="n">
        <v>3000</v>
      </c>
      <c r="D75" s="15" t="n">
        <v>1</v>
      </c>
      <c r="E75" s="16" t="s">
        <v>75</v>
      </c>
      <c r="F75" s="14" t="n">
        <f aca="false">C75*D75</f>
        <v>3000</v>
      </c>
      <c r="G75" s="16"/>
      <c r="H75" s="12" t="s">
        <v>19</v>
      </c>
      <c r="I75" s="15" t="s">
        <v>20</v>
      </c>
      <c r="J75" s="16"/>
      <c r="K75" s="12" t="s">
        <v>208</v>
      </c>
      <c r="L75" s="13" t="s">
        <v>267</v>
      </c>
    </row>
    <row r="76" customFormat="false" ht="15" hidden="false" customHeight="false" outlineLevel="0" collapsed="false">
      <c r="A76" s="12" t="n">
        <v>64</v>
      </c>
      <c r="B76" s="13" t="s">
        <v>269</v>
      </c>
      <c r="C76" s="20" t="n">
        <v>3000</v>
      </c>
      <c r="D76" s="15" t="n">
        <v>1</v>
      </c>
      <c r="E76" s="16" t="s">
        <v>75</v>
      </c>
      <c r="F76" s="14" t="n">
        <f aca="false">C76*D76</f>
        <v>3000</v>
      </c>
      <c r="G76" s="16"/>
      <c r="H76" s="12" t="s">
        <v>19</v>
      </c>
      <c r="I76" s="15" t="s">
        <v>20</v>
      </c>
      <c r="J76" s="16"/>
      <c r="K76" s="12" t="s">
        <v>213</v>
      </c>
      <c r="L76" s="13" t="s">
        <v>270</v>
      </c>
    </row>
    <row r="77" customFormat="false" ht="15" hidden="false" customHeight="false" outlineLevel="0" collapsed="false">
      <c r="A77" s="12" t="n">
        <v>65</v>
      </c>
      <c r="B77" s="13" t="s">
        <v>271</v>
      </c>
      <c r="C77" s="20" t="n">
        <v>2500</v>
      </c>
      <c r="D77" s="15" t="n">
        <v>1</v>
      </c>
      <c r="E77" s="16" t="s">
        <v>75</v>
      </c>
      <c r="F77" s="14" t="n">
        <f aca="false">C77*D77</f>
        <v>2500</v>
      </c>
      <c r="G77" s="16"/>
      <c r="H77" s="12" t="s">
        <v>70</v>
      </c>
      <c r="I77" s="15" t="s">
        <v>20</v>
      </c>
      <c r="J77" s="16"/>
      <c r="K77" s="12" t="s">
        <v>259</v>
      </c>
      <c r="L77" s="13" t="s">
        <v>267</v>
      </c>
    </row>
    <row r="78" customFormat="false" ht="15" hidden="false" customHeight="false" outlineLevel="0" collapsed="false">
      <c r="A78" s="12" t="n">
        <v>66</v>
      </c>
      <c r="B78" s="13" t="s">
        <v>272</v>
      </c>
      <c r="C78" s="20" t="n">
        <v>3500</v>
      </c>
      <c r="D78" s="15" t="n">
        <v>1</v>
      </c>
      <c r="E78" s="16" t="s">
        <v>75</v>
      </c>
      <c r="F78" s="14" t="n">
        <f aca="false">C78*D78</f>
        <v>3500</v>
      </c>
      <c r="G78" s="16"/>
      <c r="H78" s="12" t="s">
        <v>19</v>
      </c>
      <c r="I78" s="15" t="s">
        <v>20</v>
      </c>
      <c r="J78" s="16"/>
      <c r="K78" s="12" t="s">
        <v>223</v>
      </c>
      <c r="L78" s="13" t="s">
        <v>270</v>
      </c>
    </row>
    <row r="79" customFormat="false" ht="15" hidden="false" customHeight="false" outlineLevel="0" collapsed="false">
      <c r="A79" s="17"/>
      <c r="B79" s="18" t="s">
        <v>273</v>
      </c>
      <c r="C79" s="17"/>
      <c r="D79" s="17"/>
      <c r="E79" s="17"/>
      <c r="F79" s="19" t="n">
        <f aca="false">SUMIFS(F56:F78,I56:I78,"O")</f>
        <v>74150</v>
      </c>
      <c r="G79" s="17"/>
      <c r="H79" s="17"/>
      <c r="I79" s="17"/>
      <c r="J79" s="17"/>
      <c r="K79" s="17"/>
      <c r="L79" s="17"/>
    </row>
    <row r="81" customFormat="false" ht="19.5" hidden="false" customHeight="true" outlineLevel="0" collapsed="false">
      <c r="A81" s="4" t="s">
        <v>274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20.85" hidden="false" customHeight="false" outlineLevel="0" collapsed="false">
      <c r="A82" s="5" t="n">
        <v>67</v>
      </c>
      <c r="B82" s="6" t="s">
        <v>275</v>
      </c>
      <c r="C82" s="7" t="n">
        <v>1400</v>
      </c>
      <c r="D82" s="8" t="n">
        <v>1</v>
      </c>
      <c r="E82" s="6" t="s">
        <v>276</v>
      </c>
      <c r="F82" s="9" t="n">
        <f aca="false">C82*D82</f>
        <v>1400</v>
      </c>
      <c r="G82" s="10" t="s">
        <v>277</v>
      </c>
      <c r="H82" s="5" t="s">
        <v>19</v>
      </c>
      <c r="I82" s="11" t="s">
        <v>20</v>
      </c>
      <c r="J82" s="6" t="s">
        <v>278</v>
      </c>
      <c r="K82" s="5" t="s">
        <v>279</v>
      </c>
      <c r="L82" s="6"/>
    </row>
    <row r="83" customFormat="false" ht="20.85" hidden="false" customHeight="false" outlineLevel="0" collapsed="false">
      <c r="A83" s="5" t="n">
        <v>68</v>
      </c>
      <c r="B83" s="6" t="s">
        <v>280</v>
      </c>
      <c r="C83" s="7" t="n">
        <v>2200</v>
      </c>
      <c r="D83" s="8" t="n">
        <v>2</v>
      </c>
      <c r="E83" s="6" t="s">
        <v>281</v>
      </c>
      <c r="F83" s="9" t="n">
        <f aca="false">C83*D83</f>
        <v>4400</v>
      </c>
      <c r="G83" s="10" t="s">
        <v>282</v>
      </c>
      <c r="H83" s="5" t="s">
        <v>19</v>
      </c>
      <c r="I83" s="11" t="s">
        <v>20</v>
      </c>
      <c r="J83" s="6" t="s">
        <v>278</v>
      </c>
      <c r="K83" s="5" t="s">
        <v>283</v>
      </c>
      <c r="L83" s="6"/>
    </row>
    <row r="84" customFormat="false" ht="20.85" hidden="false" customHeight="false" outlineLevel="0" collapsed="false">
      <c r="A84" s="5" t="n">
        <v>69</v>
      </c>
      <c r="B84" s="6" t="s">
        <v>284</v>
      </c>
      <c r="C84" s="7" t="n">
        <v>520</v>
      </c>
      <c r="D84" s="8" t="n">
        <v>8</v>
      </c>
      <c r="E84" s="6" t="s">
        <v>285</v>
      </c>
      <c r="F84" s="9" t="n">
        <f aca="false">C84*D84</f>
        <v>4160</v>
      </c>
      <c r="G84" s="10" t="s">
        <v>286</v>
      </c>
      <c r="H84" s="5" t="s">
        <v>19</v>
      </c>
      <c r="I84" s="11" t="s">
        <v>20</v>
      </c>
      <c r="J84" s="6" t="s">
        <v>278</v>
      </c>
      <c r="K84" s="5" t="s">
        <v>287</v>
      </c>
      <c r="L84" s="6" t="s">
        <v>288</v>
      </c>
    </row>
    <row r="85" customFormat="false" ht="15" hidden="false" customHeight="false" outlineLevel="0" collapsed="false">
      <c r="A85" s="12" t="n">
        <v>70</v>
      </c>
      <c r="B85" s="13" t="s">
        <v>289</v>
      </c>
      <c r="C85" s="20" t="n">
        <v>3000</v>
      </c>
      <c r="D85" s="15" t="n">
        <v>1</v>
      </c>
      <c r="E85" s="16" t="s">
        <v>75</v>
      </c>
      <c r="F85" s="14" t="n">
        <f aca="false">C85*D85</f>
        <v>3000</v>
      </c>
      <c r="G85" s="16"/>
      <c r="H85" s="12" t="s">
        <v>19</v>
      </c>
      <c r="I85" s="15" t="s">
        <v>20</v>
      </c>
      <c r="J85" s="16"/>
      <c r="K85" s="12" t="s">
        <v>279</v>
      </c>
      <c r="L85" s="13" t="s">
        <v>270</v>
      </c>
    </row>
    <row r="86" customFormat="false" ht="15" hidden="false" customHeight="false" outlineLevel="0" collapsed="false">
      <c r="A86" s="17"/>
      <c r="B86" s="18" t="s">
        <v>290</v>
      </c>
      <c r="C86" s="17"/>
      <c r="D86" s="17"/>
      <c r="E86" s="17"/>
      <c r="F86" s="19" t="n">
        <f aca="false">SUMIFS(F82:F85,I82:I85,"O")</f>
        <v>12960</v>
      </c>
      <c r="G86" s="17"/>
      <c r="H86" s="17"/>
      <c r="I86" s="17"/>
      <c r="J86" s="17"/>
      <c r="K86" s="17"/>
      <c r="L86" s="17"/>
    </row>
    <row r="88" customFormat="false" ht="19.5" hidden="false" customHeight="true" outlineLevel="0" collapsed="false">
      <c r="A88" s="4" t="s">
        <v>291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customFormat="false" ht="30.55" hidden="false" customHeight="false" outlineLevel="0" collapsed="false">
      <c r="A89" s="5" t="n">
        <v>71</v>
      </c>
      <c r="B89" s="6" t="s">
        <v>292</v>
      </c>
      <c r="C89" s="7" t="n">
        <v>3300</v>
      </c>
      <c r="D89" s="8" t="n">
        <v>8</v>
      </c>
      <c r="E89" s="6" t="s">
        <v>293</v>
      </c>
      <c r="F89" s="9" t="n">
        <f aca="false">C89*D89</f>
        <v>26400</v>
      </c>
      <c r="G89" s="10" t="s">
        <v>294</v>
      </c>
      <c r="H89" s="5" t="s">
        <v>19</v>
      </c>
      <c r="I89" s="11" t="s">
        <v>20</v>
      </c>
      <c r="J89" s="6" t="s">
        <v>295</v>
      </c>
      <c r="K89" s="5" t="s">
        <v>296</v>
      </c>
      <c r="L89" s="6" t="s">
        <v>297</v>
      </c>
    </row>
    <row r="90" customFormat="false" ht="20.85" hidden="false" customHeight="false" outlineLevel="0" collapsed="false">
      <c r="A90" s="5" t="n">
        <v>72</v>
      </c>
      <c r="B90" s="6" t="s">
        <v>298</v>
      </c>
      <c r="C90" s="7" t="n">
        <v>500</v>
      </c>
      <c r="D90" s="8" t="n">
        <v>7</v>
      </c>
      <c r="E90" s="6" t="s">
        <v>299</v>
      </c>
      <c r="F90" s="9" t="n">
        <f aca="false">C90*D90</f>
        <v>3500</v>
      </c>
      <c r="G90" s="10" t="s">
        <v>300</v>
      </c>
      <c r="H90" s="5" t="s">
        <v>19</v>
      </c>
      <c r="I90" s="11" t="s">
        <v>20</v>
      </c>
      <c r="J90" s="6" t="s">
        <v>295</v>
      </c>
      <c r="K90" s="5" t="s">
        <v>296</v>
      </c>
      <c r="L90" s="6" t="s">
        <v>301</v>
      </c>
    </row>
    <row r="91" customFormat="false" ht="15" hidden="false" customHeight="false" outlineLevel="0" collapsed="false">
      <c r="A91" s="12" t="n">
        <v>73</v>
      </c>
      <c r="B91" s="13" t="s">
        <v>302</v>
      </c>
      <c r="C91" s="20" t="n">
        <v>3000</v>
      </c>
      <c r="D91" s="15" t="n">
        <v>1</v>
      </c>
      <c r="E91" s="16" t="s">
        <v>75</v>
      </c>
      <c r="F91" s="14" t="n">
        <f aca="false">C91*D91</f>
        <v>3000</v>
      </c>
      <c r="G91" s="16"/>
      <c r="H91" s="12" t="s">
        <v>19</v>
      </c>
      <c r="I91" s="15" t="s">
        <v>20</v>
      </c>
      <c r="J91" s="16"/>
      <c r="K91" s="12" t="s">
        <v>296</v>
      </c>
      <c r="L91" s="13" t="s">
        <v>270</v>
      </c>
    </row>
    <row r="92" customFormat="false" ht="15" hidden="false" customHeight="false" outlineLevel="0" collapsed="false">
      <c r="A92" s="17"/>
      <c r="B92" s="18" t="s">
        <v>303</v>
      </c>
      <c r="C92" s="17"/>
      <c r="D92" s="17"/>
      <c r="E92" s="17"/>
      <c r="F92" s="19" t="n">
        <f aca="false">SUMIFS(F89:F91,I89:I91,"O")</f>
        <v>32900</v>
      </c>
      <c r="G92" s="17"/>
      <c r="H92" s="17"/>
      <c r="I92" s="17"/>
      <c r="J92" s="17"/>
      <c r="K92" s="17"/>
      <c r="L92" s="17"/>
    </row>
    <row r="94" customFormat="false" ht="19.5" hidden="false" customHeight="true" outlineLevel="0" collapsed="false">
      <c r="A94" s="4" t="s">
        <v>304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customFormat="false" ht="20.85" hidden="false" customHeight="false" outlineLevel="0" collapsed="false">
      <c r="A95" s="5" t="n">
        <v>74</v>
      </c>
      <c r="B95" s="6" t="s">
        <v>305</v>
      </c>
      <c r="C95" s="7" t="n">
        <v>16150</v>
      </c>
      <c r="D95" s="8" t="n">
        <v>1</v>
      </c>
      <c r="E95" s="6" t="s">
        <v>306</v>
      </c>
      <c r="F95" s="9" t="n">
        <f aca="false">C95*D95</f>
        <v>16150</v>
      </c>
      <c r="G95" s="10" t="s">
        <v>307</v>
      </c>
      <c r="H95" s="5" t="s">
        <v>70</v>
      </c>
      <c r="I95" s="11" t="s">
        <v>20</v>
      </c>
      <c r="J95" s="6" t="s">
        <v>308</v>
      </c>
      <c r="K95" s="5" t="s">
        <v>309</v>
      </c>
      <c r="L95" s="6" t="s">
        <v>310</v>
      </c>
    </row>
    <row r="96" customFormat="false" ht="15" hidden="false" customHeight="false" outlineLevel="0" collapsed="false">
      <c r="A96" s="5" t="n">
        <v>75</v>
      </c>
      <c r="B96" s="6" t="s">
        <v>311</v>
      </c>
      <c r="C96" s="7" t="n">
        <v>12750</v>
      </c>
      <c r="D96" s="8" t="n">
        <v>1</v>
      </c>
      <c r="E96" s="6" t="s">
        <v>312</v>
      </c>
      <c r="F96" s="9" t="n">
        <f aca="false">C96*D96</f>
        <v>12750</v>
      </c>
      <c r="G96" s="10" t="s">
        <v>307</v>
      </c>
      <c r="H96" s="5" t="s">
        <v>70</v>
      </c>
      <c r="I96" s="11" t="s">
        <v>20</v>
      </c>
      <c r="J96" s="6" t="s">
        <v>308</v>
      </c>
      <c r="K96" s="5" t="s">
        <v>309</v>
      </c>
      <c r="L96" s="6" t="s">
        <v>310</v>
      </c>
    </row>
    <row r="97" customFormat="false" ht="20.85" hidden="false" customHeight="false" outlineLevel="0" collapsed="false">
      <c r="A97" s="5" t="n">
        <v>76</v>
      </c>
      <c r="B97" s="6" t="s">
        <v>313</v>
      </c>
      <c r="C97" s="7" t="n">
        <v>16150</v>
      </c>
      <c r="D97" s="8" t="n">
        <v>3</v>
      </c>
      <c r="E97" s="6" t="s">
        <v>314</v>
      </c>
      <c r="F97" s="9" t="n">
        <f aca="false">C97*D97</f>
        <v>48450</v>
      </c>
      <c r="G97" s="10" t="s">
        <v>307</v>
      </c>
      <c r="H97" s="5" t="s">
        <v>70</v>
      </c>
      <c r="I97" s="11" t="s">
        <v>20</v>
      </c>
      <c r="J97" s="6" t="s">
        <v>308</v>
      </c>
      <c r="K97" s="5" t="s">
        <v>309</v>
      </c>
      <c r="L97" s="6" t="s">
        <v>315</v>
      </c>
    </row>
    <row r="98" customFormat="false" ht="20.85" hidden="false" customHeight="false" outlineLevel="0" collapsed="false">
      <c r="A98" s="5" t="n">
        <v>77</v>
      </c>
      <c r="B98" s="6" t="s">
        <v>316</v>
      </c>
      <c r="C98" s="7" t="n">
        <v>16150</v>
      </c>
      <c r="D98" s="8" t="n">
        <v>1</v>
      </c>
      <c r="E98" s="6" t="s">
        <v>317</v>
      </c>
      <c r="F98" s="9" t="n">
        <f aca="false">C98*D98</f>
        <v>16150</v>
      </c>
      <c r="G98" s="10" t="s">
        <v>307</v>
      </c>
      <c r="H98" s="5" t="s">
        <v>70</v>
      </c>
      <c r="I98" s="11" t="s">
        <v>20</v>
      </c>
      <c r="J98" s="6" t="s">
        <v>308</v>
      </c>
      <c r="K98" s="5" t="s">
        <v>318</v>
      </c>
      <c r="L98" s="6" t="s">
        <v>319</v>
      </c>
    </row>
    <row r="99" customFormat="false" ht="30.55" hidden="false" customHeight="false" outlineLevel="0" collapsed="false">
      <c r="A99" s="12" t="n">
        <v>78</v>
      </c>
      <c r="B99" s="13" t="s">
        <v>320</v>
      </c>
      <c r="C99" s="14" t="n">
        <f aca="false">IF(SUMIFS(F95:F98,I95:I98,"O")&lt;70000,3000,0)</f>
        <v>0</v>
      </c>
      <c r="D99" s="15" t="n">
        <v>1</v>
      </c>
      <c r="E99" s="16" t="s">
        <v>75</v>
      </c>
      <c r="F99" s="14" t="n">
        <f aca="false">C99*D99</f>
        <v>0</v>
      </c>
      <c r="G99" s="16"/>
      <c r="H99" s="12" t="s">
        <v>70</v>
      </c>
      <c r="I99" s="15" t="s">
        <v>20</v>
      </c>
      <c r="J99" s="16"/>
      <c r="K99" s="12"/>
      <c r="L99" s="13" t="s">
        <v>321</v>
      </c>
    </row>
    <row r="100" customFormat="false" ht="15" hidden="false" customHeight="false" outlineLevel="0" collapsed="false">
      <c r="A100" s="17"/>
      <c r="B100" s="18" t="s">
        <v>322</v>
      </c>
      <c r="C100" s="17"/>
      <c r="D100" s="17"/>
      <c r="E100" s="17"/>
      <c r="F100" s="19" t="n">
        <f aca="false">SUMIFS(F95:F99,I95:I99,"O")</f>
        <v>93500</v>
      </c>
      <c r="G100" s="17"/>
      <c r="H100" s="17"/>
      <c r="I100" s="17"/>
      <c r="J100" s="17"/>
      <c r="K100" s="17"/>
      <c r="L100" s="17"/>
    </row>
    <row r="102" customFormat="false" ht="19.5" hidden="false" customHeight="true" outlineLevel="0" collapsed="false">
      <c r="A102" s="4" t="s">
        <v>323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</row>
    <row r="103" customFormat="false" ht="20.85" hidden="false" customHeight="false" outlineLevel="0" collapsed="false">
      <c r="A103" s="5" t="n">
        <v>79</v>
      </c>
      <c r="B103" s="6" t="s">
        <v>324</v>
      </c>
      <c r="C103" s="7" t="n">
        <v>15490</v>
      </c>
      <c r="D103" s="8" t="n">
        <v>1</v>
      </c>
      <c r="E103" s="6" t="s">
        <v>325</v>
      </c>
      <c r="F103" s="9" t="n">
        <f aca="false">C103*D103</f>
        <v>15490</v>
      </c>
      <c r="G103" s="10" t="s">
        <v>326</v>
      </c>
      <c r="H103" s="5" t="s">
        <v>19</v>
      </c>
      <c r="I103" s="11" t="s">
        <v>20</v>
      </c>
      <c r="J103" s="6" t="s">
        <v>327</v>
      </c>
      <c r="K103" s="5" t="s">
        <v>328</v>
      </c>
      <c r="L103" s="6" t="s">
        <v>329</v>
      </c>
    </row>
    <row r="104" customFormat="false" ht="40.25" hidden="false" customHeight="false" outlineLevel="0" collapsed="false">
      <c r="A104" s="5" t="n">
        <v>80</v>
      </c>
      <c r="B104" s="6" t="s">
        <v>330</v>
      </c>
      <c r="C104" s="7" t="n">
        <v>30700</v>
      </c>
      <c r="D104" s="8" t="n">
        <v>1</v>
      </c>
      <c r="E104" s="6" t="s">
        <v>331</v>
      </c>
      <c r="F104" s="9" t="n">
        <f aca="false">C104*D104</f>
        <v>30700</v>
      </c>
      <c r="G104" s="10" t="s">
        <v>332</v>
      </c>
      <c r="H104" s="5" t="s">
        <v>19</v>
      </c>
      <c r="I104" s="11" t="s">
        <v>20</v>
      </c>
      <c r="J104" s="6" t="s">
        <v>333</v>
      </c>
      <c r="K104" s="5" t="s">
        <v>334</v>
      </c>
      <c r="L104" s="6" t="s">
        <v>335</v>
      </c>
    </row>
    <row r="105" customFormat="false" ht="40.25" hidden="false" customHeight="false" outlineLevel="0" collapsed="false">
      <c r="A105" s="5" t="n">
        <v>81</v>
      </c>
      <c r="B105" s="6" t="s">
        <v>336</v>
      </c>
      <c r="C105" s="7" t="n">
        <v>19800</v>
      </c>
      <c r="D105" s="8" t="n">
        <v>1</v>
      </c>
      <c r="E105" s="6" t="s">
        <v>337</v>
      </c>
      <c r="F105" s="9" t="n">
        <f aca="false">C105*D105</f>
        <v>19800</v>
      </c>
      <c r="G105" s="10" t="s">
        <v>338</v>
      </c>
      <c r="H105" s="5" t="s">
        <v>19</v>
      </c>
      <c r="I105" s="11" t="s">
        <v>20</v>
      </c>
      <c r="J105" s="6" t="s">
        <v>327</v>
      </c>
      <c r="K105" s="5" t="s">
        <v>339</v>
      </c>
      <c r="L105" s="6" t="s">
        <v>335</v>
      </c>
    </row>
    <row r="106" customFormat="false" ht="15" hidden="false" customHeight="false" outlineLevel="0" collapsed="false">
      <c r="A106" s="12" t="n">
        <v>82</v>
      </c>
      <c r="B106" s="13" t="s">
        <v>340</v>
      </c>
      <c r="C106" s="20" t="n">
        <v>3000</v>
      </c>
      <c r="D106" s="15" t="n">
        <v>1</v>
      </c>
      <c r="E106" s="16" t="s">
        <v>75</v>
      </c>
      <c r="F106" s="14" t="n">
        <f aca="false">C106*D106</f>
        <v>3000</v>
      </c>
      <c r="G106" s="16"/>
      <c r="H106" s="12" t="s">
        <v>19</v>
      </c>
      <c r="I106" s="15" t="s">
        <v>20</v>
      </c>
      <c r="J106" s="16"/>
      <c r="K106" s="12" t="s">
        <v>328</v>
      </c>
      <c r="L106" s="13" t="s">
        <v>267</v>
      </c>
    </row>
    <row r="107" customFormat="false" ht="15" hidden="false" customHeight="false" outlineLevel="0" collapsed="false">
      <c r="A107" s="17"/>
      <c r="B107" s="18" t="s">
        <v>341</v>
      </c>
      <c r="C107" s="17"/>
      <c r="D107" s="17"/>
      <c r="E107" s="17"/>
      <c r="F107" s="19" t="n">
        <f aca="false">SUMIFS(F103:F106,I103:I106,"O")</f>
        <v>68990</v>
      </c>
      <c r="G107" s="17"/>
      <c r="H107" s="17"/>
      <c r="I107" s="17"/>
      <c r="J107" s="17"/>
      <c r="K107" s="17"/>
      <c r="L107" s="17"/>
    </row>
    <row r="109" customFormat="false" ht="19.5" hidden="false" customHeight="true" outlineLevel="0" collapsed="false">
      <c r="A109" s="4" t="s">
        <v>342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30.55" hidden="false" customHeight="false" outlineLevel="0" collapsed="false">
      <c r="A110" s="5" t="n">
        <v>83</v>
      </c>
      <c r="B110" s="6" t="s">
        <v>343</v>
      </c>
      <c r="C110" s="7" t="n">
        <v>17680</v>
      </c>
      <c r="D110" s="8" t="n">
        <v>1</v>
      </c>
      <c r="E110" s="6" t="s">
        <v>344</v>
      </c>
      <c r="F110" s="9" t="n">
        <f aca="false">C110*D110</f>
        <v>17680</v>
      </c>
      <c r="G110" s="10" t="s">
        <v>345</v>
      </c>
      <c r="H110" s="5" t="s">
        <v>19</v>
      </c>
      <c r="I110" s="11" t="s">
        <v>20</v>
      </c>
      <c r="J110" s="6" t="s">
        <v>346</v>
      </c>
      <c r="K110" s="5" t="s">
        <v>347</v>
      </c>
      <c r="L110" s="6" t="s">
        <v>348</v>
      </c>
    </row>
    <row r="111" customFormat="false" ht="20.85" hidden="false" customHeight="false" outlineLevel="0" collapsed="false">
      <c r="A111" s="5" t="n">
        <v>84</v>
      </c>
      <c r="B111" s="6" t="s">
        <v>349</v>
      </c>
      <c r="C111" s="7" t="n">
        <v>22520</v>
      </c>
      <c r="D111" s="8" t="n">
        <v>1</v>
      </c>
      <c r="E111" s="6" t="s">
        <v>350</v>
      </c>
      <c r="F111" s="9" t="n">
        <f aca="false">C111*D111</f>
        <v>22520</v>
      </c>
      <c r="G111" s="10" t="s">
        <v>345</v>
      </c>
      <c r="H111" s="5" t="s">
        <v>19</v>
      </c>
      <c r="I111" s="11" t="s">
        <v>20</v>
      </c>
      <c r="J111" s="6" t="s">
        <v>346</v>
      </c>
      <c r="K111" s="5" t="s">
        <v>351</v>
      </c>
      <c r="L111" s="6" t="s">
        <v>352</v>
      </c>
    </row>
    <row r="112" customFormat="false" ht="15" hidden="false" customHeight="false" outlineLevel="0" collapsed="false">
      <c r="A112" s="17"/>
      <c r="B112" s="18" t="s">
        <v>353</v>
      </c>
      <c r="C112" s="17"/>
      <c r="D112" s="17"/>
      <c r="E112" s="17"/>
      <c r="F112" s="19" t="n">
        <f aca="false">SUMIFS(F110:F111,I110:I111,"O")</f>
        <v>40200</v>
      </c>
      <c r="G112" s="17"/>
      <c r="H112" s="17"/>
      <c r="I112" s="17"/>
      <c r="J112" s="17"/>
      <c r="K112" s="17"/>
      <c r="L112" s="17"/>
    </row>
    <row r="114" customFormat="false" ht="19.5" hidden="false" customHeight="true" outlineLevel="0" collapsed="false">
      <c r="A114" s="4" t="s">
        <v>354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</row>
    <row r="115" customFormat="false" ht="15" hidden="false" customHeight="false" outlineLevel="0" collapsed="false">
      <c r="A115" s="5" t="n">
        <v>85</v>
      </c>
      <c r="B115" s="6" t="s">
        <v>355</v>
      </c>
      <c r="C115" s="7" t="n">
        <v>80</v>
      </c>
      <c r="D115" s="8" t="n">
        <v>100</v>
      </c>
      <c r="E115" s="6" t="s">
        <v>356</v>
      </c>
      <c r="F115" s="9" t="n">
        <f aca="false">C115*D115</f>
        <v>8000</v>
      </c>
      <c r="G115" s="10" t="s">
        <v>357</v>
      </c>
      <c r="H115" s="5" t="s">
        <v>19</v>
      </c>
      <c r="I115" s="11" t="s">
        <v>20</v>
      </c>
      <c r="J115" s="6" t="s">
        <v>358</v>
      </c>
      <c r="K115" s="5" t="s">
        <v>359</v>
      </c>
      <c r="L115" s="6"/>
    </row>
    <row r="116" customFormat="false" ht="30.55" hidden="false" customHeight="false" outlineLevel="0" collapsed="false">
      <c r="A116" s="5" t="n">
        <v>86</v>
      </c>
      <c r="B116" s="6" t="s">
        <v>360</v>
      </c>
      <c r="C116" s="7" t="n">
        <v>160</v>
      </c>
      <c r="D116" s="8" t="n">
        <v>14</v>
      </c>
      <c r="E116" s="6" t="s">
        <v>361</v>
      </c>
      <c r="F116" s="9" t="n">
        <f aca="false">C116*D116</f>
        <v>2240</v>
      </c>
      <c r="G116" s="10" t="s">
        <v>362</v>
      </c>
      <c r="H116" s="5" t="s">
        <v>19</v>
      </c>
      <c r="I116" s="11" t="s">
        <v>20</v>
      </c>
      <c r="J116" s="6" t="s">
        <v>358</v>
      </c>
      <c r="K116" s="5" t="s">
        <v>363</v>
      </c>
      <c r="L116" s="6" t="s">
        <v>364</v>
      </c>
    </row>
    <row r="117" customFormat="false" ht="15" hidden="false" customHeight="false" outlineLevel="0" collapsed="false">
      <c r="A117" s="12" t="n">
        <v>87</v>
      </c>
      <c r="B117" s="13" t="s">
        <v>365</v>
      </c>
      <c r="C117" s="20" t="n">
        <v>2500</v>
      </c>
      <c r="D117" s="15" t="n">
        <v>1</v>
      </c>
      <c r="E117" s="16" t="s">
        <v>75</v>
      </c>
      <c r="F117" s="14" t="n">
        <f aca="false">C117*D117</f>
        <v>2500</v>
      </c>
      <c r="G117" s="16"/>
      <c r="H117" s="12" t="s">
        <v>19</v>
      </c>
      <c r="I117" s="15" t="s">
        <v>20</v>
      </c>
      <c r="J117" s="16"/>
      <c r="K117" s="12" t="s">
        <v>359</v>
      </c>
      <c r="L117" s="13" t="s">
        <v>267</v>
      </c>
    </row>
    <row r="118" customFormat="false" ht="15" hidden="false" customHeight="false" outlineLevel="0" collapsed="false">
      <c r="A118" s="17"/>
      <c r="B118" s="18" t="s">
        <v>366</v>
      </c>
      <c r="C118" s="17"/>
      <c r="D118" s="17"/>
      <c r="E118" s="17"/>
      <c r="F118" s="19" t="n">
        <f aca="false">SUMIFS(F115:F117,I115:I117,"O")</f>
        <v>12740</v>
      </c>
      <c r="G118" s="17"/>
      <c r="H118" s="17"/>
      <c r="I118" s="17"/>
      <c r="J118" s="17"/>
      <c r="K118" s="17"/>
      <c r="L118" s="17"/>
    </row>
    <row r="120" customFormat="false" ht="19.5" hidden="false" customHeight="true" outlineLevel="0" collapsed="false">
      <c r="A120" s="4" t="s">
        <v>367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customFormat="false" ht="20.85" hidden="false" customHeight="false" outlineLevel="0" collapsed="false">
      <c r="A121" s="5" t="n">
        <v>88</v>
      </c>
      <c r="B121" s="6" t="s">
        <v>368</v>
      </c>
      <c r="C121" s="7" t="n">
        <v>3000</v>
      </c>
      <c r="D121" s="8" t="n">
        <v>2</v>
      </c>
      <c r="E121" s="6" t="s">
        <v>369</v>
      </c>
      <c r="F121" s="9" t="n">
        <f aca="false">C121*D121</f>
        <v>6000</v>
      </c>
      <c r="G121" s="10" t="s">
        <v>370</v>
      </c>
      <c r="H121" s="5" t="s">
        <v>19</v>
      </c>
      <c r="I121" s="11" t="s">
        <v>20</v>
      </c>
      <c r="J121" s="6" t="s">
        <v>371</v>
      </c>
      <c r="K121" s="5" t="s">
        <v>372</v>
      </c>
      <c r="L121" s="6"/>
    </row>
    <row r="122" customFormat="false" ht="15" hidden="false" customHeight="false" outlineLevel="0" collapsed="false">
      <c r="A122" s="12" t="n">
        <v>89</v>
      </c>
      <c r="B122" s="13" t="s">
        <v>373</v>
      </c>
      <c r="C122" s="20" t="n">
        <v>3500</v>
      </c>
      <c r="D122" s="15" t="n">
        <v>1</v>
      </c>
      <c r="E122" s="16" t="s">
        <v>75</v>
      </c>
      <c r="F122" s="14" t="n">
        <f aca="false">C122*D122</f>
        <v>3500</v>
      </c>
      <c r="G122" s="16"/>
      <c r="H122" s="12" t="s">
        <v>19</v>
      </c>
      <c r="I122" s="15" t="s">
        <v>20</v>
      </c>
      <c r="J122" s="16"/>
      <c r="K122" s="12" t="s">
        <v>372</v>
      </c>
      <c r="L122" s="13" t="s">
        <v>267</v>
      </c>
    </row>
    <row r="123" customFormat="false" ht="15" hidden="false" customHeight="false" outlineLevel="0" collapsed="false">
      <c r="A123" s="17"/>
      <c r="B123" s="18" t="s">
        <v>374</v>
      </c>
      <c r="C123" s="17"/>
      <c r="D123" s="17"/>
      <c r="E123" s="17"/>
      <c r="F123" s="19" t="n">
        <f aca="false">SUMIFS(F121:F122,I121:I122,"O")</f>
        <v>9500</v>
      </c>
      <c r="G123" s="17"/>
      <c r="H123" s="17"/>
      <c r="I123" s="17"/>
      <c r="J123" s="17"/>
      <c r="K123" s="17"/>
      <c r="L123" s="17"/>
    </row>
    <row r="125" customFormat="false" ht="19.5" hidden="false" customHeight="true" outlineLevel="0" collapsed="false">
      <c r="A125" s="4" t="s">
        <v>375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20.85" hidden="false" customHeight="false" outlineLevel="0" collapsed="false">
      <c r="A126" s="5" t="n">
        <v>90</v>
      </c>
      <c r="B126" s="6" t="s">
        <v>376</v>
      </c>
      <c r="C126" s="7" t="n">
        <v>2400</v>
      </c>
      <c r="D126" s="8" t="n">
        <v>2</v>
      </c>
      <c r="E126" s="6" t="s">
        <v>377</v>
      </c>
      <c r="F126" s="9" t="n">
        <f aca="false">C126*D126</f>
        <v>4800</v>
      </c>
      <c r="G126" s="10" t="s">
        <v>378</v>
      </c>
      <c r="H126" s="5" t="s">
        <v>19</v>
      </c>
      <c r="I126" s="11" t="s">
        <v>20</v>
      </c>
      <c r="J126" s="6" t="s">
        <v>379</v>
      </c>
      <c r="K126" s="5" t="s">
        <v>380</v>
      </c>
      <c r="L126" s="6"/>
    </row>
    <row r="127" customFormat="false" ht="15" hidden="false" customHeight="false" outlineLevel="0" collapsed="false">
      <c r="A127" s="12" t="n">
        <v>91</v>
      </c>
      <c r="B127" s="13" t="s">
        <v>381</v>
      </c>
      <c r="C127" s="20" t="n">
        <v>3000</v>
      </c>
      <c r="D127" s="15" t="n">
        <v>1</v>
      </c>
      <c r="E127" s="16" t="s">
        <v>75</v>
      </c>
      <c r="F127" s="14" t="n">
        <f aca="false">C127*D127</f>
        <v>3000</v>
      </c>
      <c r="G127" s="16"/>
      <c r="H127" s="12" t="s">
        <v>19</v>
      </c>
      <c r="I127" s="15" t="s">
        <v>20</v>
      </c>
      <c r="J127" s="16"/>
      <c r="K127" s="12" t="s">
        <v>380</v>
      </c>
      <c r="L127" s="13" t="s">
        <v>267</v>
      </c>
    </row>
    <row r="128" customFormat="false" ht="15" hidden="false" customHeight="false" outlineLevel="0" collapsed="false">
      <c r="A128" s="17"/>
      <c r="B128" s="18" t="s">
        <v>382</v>
      </c>
      <c r="C128" s="17"/>
      <c r="D128" s="17"/>
      <c r="E128" s="17"/>
      <c r="F128" s="19" t="n">
        <f aca="false">SUMIFS(F126:F127,I126:I127,"O")</f>
        <v>7800</v>
      </c>
      <c r="G128" s="17"/>
      <c r="H128" s="17"/>
      <c r="I128" s="17"/>
      <c r="J128" s="17"/>
      <c r="K128" s="17"/>
      <c r="L128" s="17"/>
    </row>
    <row r="130" customFormat="false" ht="19.5" hidden="false" customHeight="true" outlineLevel="0" collapsed="false">
      <c r="A130" s="4" t="s">
        <v>383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</row>
    <row r="131" customFormat="false" ht="20.85" hidden="false" customHeight="false" outlineLevel="0" collapsed="false">
      <c r="A131" s="5" t="n">
        <v>92</v>
      </c>
      <c r="B131" s="6" t="s">
        <v>384</v>
      </c>
      <c r="C131" s="7" t="n">
        <v>5500</v>
      </c>
      <c r="D131" s="8" t="n">
        <v>1</v>
      </c>
      <c r="E131" s="6" t="s">
        <v>385</v>
      </c>
      <c r="F131" s="9" t="n">
        <f aca="false">C131*D131</f>
        <v>5500</v>
      </c>
      <c r="G131" s="10" t="s">
        <v>386</v>
      </c>
      <c r="H131" s="5" t="s">
        <v>19</v>
      </c>
      <c r="I131" s="11" t="s">
        <v>20</v>
      </c>
      <c r="J131" s="6" t="s">
        <v>387</v>
      </c>
      <c r="K131" s="5" t="s">
        <v>388</v>
      </c>
      <c r="L131" s="6"/>
    </row>
    <row r="132" customFormat="false" ht="15" hidden="false" customHeight="false" outlineLevel="0" collapsed="false">
      <c r="A132" s="12" t="n">
        <v>93</v>
      </c>
      <c r="B132" s="13" t="s">
        <v>389</v>
      </c>
      <c r="C132" s="20" t="n">
        <v>3000</v>
      </c>
      <c r="D132" s="15" t="n">
        <v>1</v>
      </c>
      <c r="E132" s="16" t="s">
        <v>75</v>
      </c>
      <c r="F132" s="14" t="n">
        <f aca="false">C132*D132</f>
        <v>3000</v>
      </c>
      <c r="G132" s="16"/>
      <c r="H132" s="12" t="s">
        <v>19</v>
      </c>
      <c r="I132" s="15" t="s">
        <v>20</v>
      </c>
      <c r="J132" s="16"/>
      <c r="K132" s="12" t="s">
        <v>388</v>
      </c>
      <c r="L132" s="13" t="s">
        <v>267</v>
      </c>
    </row>
    <row r="133" customFormat="false" ht="15" hidden="false" customHeight="false" outlineLevel="0" collapsed="false">
      <c r="A133" s="17"/>
      <c r="B133" s="18" t="s">
        <v>390</v>
      </c>
      <c r="C133" s="17"/>
      <c r="D133" s="17"/>
      <c r="E133" s="17"/>
      <c r="F133" s="19" t="n">
        <f aca="false">SUMIFS(F131:F132,I131:I132,"O")</f>
        <v>8500</v>
      </c>
      <c r="G133" s="17"/>
      <c r="H133" s="17"/>
      <c r="I133" s="17"/>
      <c r="J133" s="17"/>
      <c r="K133" s="17"/>
      <c r="L133" s="17"/>
    </row>
    <row r="135" customFormat="false" ht="19.5" hidden="false" customHeight="true" outlineLevel="0" collapsed="false">
      <c r="A135" s="4" t="s">
        <v>391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20.85" hidden="false" customHeight="false" outlineLevel="0" collapsed="false">
      <c r="A136" s="5" t="n">
        <v>94</v>
      </c>
      <c r="B136" s="6" t="s">
        <v>392</v>
      </c>
      <c r="C136" s="7" t="n">
        <v>8500</v>
      </c>
      <c r="D136" s="8" t="n">
        <v>1</v>
      </c>
      <c r="E136" s="6" t="s">
        <v>393</v>
      </c>
      <c r="F136" s="9" t="n">
        <f aca="false">C136*D136</f>
        <v>8500</v>
      </c>
      <c r="G136" s="10" t="s">
        <v>394</v>
      </c>
      <c r="H136" s="5" t="s">
        <v>19</v>
      </c>
      <c r="I136" s="11" t="s">
        <v>20</v>
      </c>
      <c r="J136" s="6" t="s">
        <v>395</v>
      </c>
      <c r="K136" s="5" t="s">
        <v>396</v>
      </c>
      <c r="L136" s="6"/>
    </row>
    <row r="137" customFormat="false" ht="15" hidden="false" customHeight="false" outlineLevel="0" collapsed="false">
      <c r="A137" s="12" t="n">
        <v>95</v>
      </c>
      <c r="B137" s="13" t="s">
        <v>397</v>
      </c>
      <c r="C137" s="20" t="n">
        <v>3000</v>
      </c>
      <c r="D137" s="15" t="n">
        <v>1</v>
      </c>
      <c r="E137" s="16" t="s">
        <v>75</v>
      </c>
      <c r="F137" s="14" t="n">
        <f aca="false">C137*D137</f>
        <v>3000</v>
      </c>
      <c r="G137" s="16"/>
      <c r="H137" s="12" t="s">
        <v>19</v>
      </c>
      <c r="I137" s="15" t="s">
        <v>20</v>
      </c>
      <c r="J137" s="16"/>
      <c r="K137" s="12" t="s">
        <v>396</v>
      </c>
      <c r="L137" s="13" t="s">
        <v>267</v>
      </c>
    </row>
    <row r="138" customFormat="false" ht="15" hidden="false" customHeight="false" outlineLevel="0" collapsed="false">
      <c r="A138" s="17"/>
      <c r="B138" s="18" t="s">
        <v>398</v>
      </c>
      <c r="C138" s="17"/>
      <c r="D138" s="17"/>
      <c r="E138" s="17"/>
      <c r="F138" s="19" t="n">
        <f aca="false">SUMIFS(F136:F137,I136:I137,"O")</f>
        <v>11500</v>
      </c>
      <c r="G138" s="17"/>
      <c r="H138" s="17"/>
      <c r="I138" s="17"/>
      <c r="J138" s="17"/>
      <c r="K138" s="17"/>
      <c r="L138" s="17"/>
    </row>
    <row r="140" customFormat="false" ht="19.5" hidden="false" customHeight="true" outlineLevel="0" collapsed="false">
      <c r="A140" s="4" t="s">
        <v>399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</row>
    <row r="141" customFormat="false" ht="20.85" hidden="false" customHeight="false" outlineLevel="0" collapsed="false">
      <c r="A141" s="5" t="n">
        <v>96</v>
      </c>
      <c r="B141" s="6" t="s">
        <v>400</v>
      </c>
      <c r="C141" s="7" t="n">
        <v>14900</v>
      </c>
      <c r="D141" s="8" t="n">
        <v>1</v>
      </c>
      <c r="E141" s="6" t="s">
        <v>401</v>
      </c>
      <c r="F141" s="9" t="n">
        <f aca="false">C141*D141</f>
        <v>14900</v>
      </c>
      <c r="G141" s="10" t="s">
        <v>402</v>
      </c>
      <c r="H141" s="5" t="s">
        <v>19</v>
      </c>
      <c r="I141" s="11" t="s">
        <v>20</v>
      </c>
      <c r="J141" s="6" t="s">
        <v>403</v>
      </c>
      <c r="K141" s="5" t="s">
        <v>404</v>
      </c>
      <c r="L141" s="6"/>
    </row>
    <row r="142" customFormat="false" ht="15" hidden="false" customHeight="false" outlineLevel="0" collapsed="false">
      <c r="A142" s="17"/>
      <c r="B142" s="18" t="s">
        <v>405</v>
      </c>
      <c r="C142" s="17"/>
      <c r="D142" s="17"/>
      <c r="E142" s="17"/>
      <c r="F142" s="19" t="n">
        <f aca="false">SUMIFS(F141,I141,"O")</f>
        <v>14900</v>
      </c>
      <c r="G142" s="17"/>
      <c r="H142" s="17"/>
      <c r="I142" s="17"/>
      <c r="J142" s="17"/>
      <c r="K142" s="17"/>
      <c r="L142" s="17"/>
    </row>
    <row r="144" customFormat="false" ht="19.5" hidden="false" customHeight="true" outlineLevel="0" collapsed="false">
      <c r="A144" s="4" t="s">
        <v>406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</row>
    <row r="145" customFormat="false" ht="20.85" hidden="false" customHeight="false" outlineLevel="0" collapsed="false">
      <c r="A145" s="5" t="n">
        <v>97</v>
      </c>
      <c r="B145" s="6" t="s">
        <v>407</v>
      </c>
      <c r="C145" s="7" t="n">
        <v>2669</v>
      </c>
      <c r="D145" s="8" t="n">
        <v>4</v>
      </c>
      <c r="E145" s="6" t="s">
        <v>408</v>
      </c>
      <c r="F145" s="9" t="n">
        <f aca="false">C145*D145</f>
        <v>10676</v>
      </c>
      <c r="G145" s="10" t="s">
        <v>409</v>
      </c>
      <c r="H145" s="5" t="s">
        <v>19</v>
      </c>
      <c r="I145" s="11" t="s">
        <v>20</v>
      </c>
      <c r="J145" s="6" t="s">
        <v>410</v>
      </c>
      <c r="K145" s="5" t="s">
        <v>411</v>
      </c>
      <c r="L145" s="6" t="s">
        <v>412</v>
      </c>
    </row>
    <row r="146" customFormat="false" ht="30.55" hidden="false" customHeight="false" outlineLevel="0" collapsed="false">
      <c r="A146" s="5" t="n">
        <v>98</v>
      </c>
      <c r="B146" s="6" t="s">
        <v>413</v>
      </c>
      <c r="C146" s="7" t="n">
        <v>3040</v>
      </c>
      <c r="D146" s="8" t="n">
        <v>1</v>
      </c>
      <c r="E146" s="6" t="s">
        <v>414</v>
      </c>
      <c r="F146" s="9" t="n">
        <f aca="false">C146*D146</f>
        <v>3040</v>
      </c>
      <c r="G146" s="10" t="s">
        <v>415</v>
      </c>
      <c r="H146" s="5" t="s">
        <v>19</v>
      </c>
      <c r="I146" s="11" t="s">
        <v>20</v>
      </c>
      <c r="J146" s="6" t="s">
        <v>416</v>
      </c>
      <c r="K146" s="5" t="s">
        <v>417</v>
      </c>
      <c r="L146" s="6" t="s">
        <v>418</v>
      </c>
    </row>
    <row r="147" customFormat="false" ht="15" hidden="false" customHeight="false" outlineLevel="0" collapsed="false">
      <c r="A147" s="17"/>
      <c r="B147" s="18" t="s">
        <v>419</v>
      </c>
      <c r="C147" s="17"/>
      <c r="D147" s="17"/>
      <c r="E147" s="17"/>
      <c r="F147" s="19" t="n">
        <f aca="false">SUMIFS(F145:F146,I145:I146,"O")</f>
        <v>13716</v>
      </c>
      <c r="G147" s="17"/>
      <c r="H147" s="17"/>
      <c r="I147" s="17"/>
      <c r="J147" s="17"/>
      <c r="K147" s="17"/>
      <c r="L147" s="17"/>
    </row>
    <row r="149" customFormat="false" ht="19.5" hidden="false" customHeight="true" outlineLevel="0" collapsed="false">
      <c r="A149" s="4" t="s">
        <v>420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20.85" hidden="false" customHeight="false" outlineLevel="0" collapsed="false">
      <c r="A150" s="5" t="n">
        <v>99</v>
      </c>
      <c r="B150" s="6" t="s">
        <v>421</v>
      </c>
      <c r="C150" s="7" t="n">
        <v>35200</v>
      </c>
      <c r="D150" s="8" t="n">
        <v>1</v>
      </c>
      <c r="E150" s="6" t="s">
        <v>422</v>
      </c>
      <c r="F150" s="9" t="n">
        <f aca="false">C150*D150</f>
        <v>35200</v>
      </c>
      <c r="G150" s="10" t="s">
        <v>423</v>
      </c>
      <c r="H150" s="5" t="s">
        <v>181</v>
      </c>
      <c r="I150" s="11" t="s">
        <v>20</v>
      </c>
      <c r="J150" s="6" t="s">
        <v>424</v>
      </c>
      <c r="K150" s="5" t="s">
        <v>425</v>
      </c>
      <c r="L150" s="6" t="s">
        <v>426</v>
      </c>
    </row>
    <row r="151" customFormat="false" ht="15" hidden="false" customHeight="false" outlineLevel="0" collapsed="false">
      <c r="A151" s="5" t="n">
        <v>100</v>
      </c>
      <c r="B151" s="6" t="s">
        <v>427</v>
      </c>
      <c r="C151" s="7" t="n">
        <v>2690</v>
      </c>
      <c r="D151" s="8" t="n">
        <v>1</v>
      </c>
      <c r="E151" s="6" t="s">
        <v>428</v>
      </c>
      <c r="F151" s="9" t="n">
        <f aca="false">C151*D151</f>
        <v>2690</v>
      </c>
      <c r="G151" s="10" t="s">
        <v>429</v>
      </c>
      <c r="H151" s="5" t="s">
        <v>181</v>
      </c>
      <c r="I151" s="11" t="s">
        <v>20</v>
      </c>
      <c r="J151" s="6" t="s">
        <v>424</v>
      </c>
      <c r="K151" s="5" t="s">
        <v>430</v>
      </c>
      <c r="L151" s="6"/>
    </row>
    <row r="152" customFormat="false" ht="20.85" hidden="false" customHeight="false" outlineLevel="0" collapsed="false">
      <c r="A152" s="5" t="n">
        <v>101</v>
      </c>
      <c r="B152" s="6" t="s">
        <v>431</v>
      </c>
      <c r="C152" s="7" t="n">
        <v>4720</v>
      </c>
      <c r="D152" s="8" t="n">
        <v>1</v>
      </c>
      <c r="E152" s="6" t="s">
        <v>432</v>
      </c>
      <c r="F152" s="9" t="n">
        <f aca="false">C152*D152</f>
        <v>4720</v>
      </c>
      <c r="G152" s="10" t="s">
        <v>433</v>
      </c>
      <c r="H152" s="5" t="s">
        <v>181</v>
      </c>
      <c r="I152" s="11" t="s">
        <v>20</v>
      </c>
      <c r="J152" s="6" t="s">
        <v>424</v>
      </c>
      <c r="K152" s="5" t="s">
        <v>434</v>
      </c>
      <c r="L152" s="6"/>
    </row>
    <row r="153" customFormat="false" ht="15" hidden="false" customHeight="false" outlineLevel="0" collapsed="false">
      <c r="A153" s="12" t="n">
        <v>102</v>
      </c>
      <c r="B153" s="13" t="s">
        <v>435</v>
      </c>
      <c r="C153" s="20" t="n">
        <v>16200</v>
      </c>
      <c r="D153" s="15" t="n">
        <v>1</v>
      </c>
      <c r="E153" s="16" t="s">
        <v>75</v>
      </c>
      <c r="F153" s="14" t="n">
        <f aca="false">C153*D153</f>
        <v>16200</v>
      </c>
      <c r="G153" s="16"/>
      <c r="H153" s="12" t="s">
        <v>181</v>
      </c>
      <c r="I153" s="15" t="s">
        <v>20</v>
      </c>
      <c r="J153" s="16"/>
      <c r="K153" s="12" t="s">
        <v>425</v>
      </c>
      <c r="L153" s="13" t="s">
        <v>267</v>
      </c>
    </row>
    <row r="154" customFormat="false" ht="15" hidden="false" customHeight="false" outlineLevel="0" collapsed="false">
      <c r="A154" s="17"/>
      <c r="B154" s="18" t="s">
        <v>436</v>
      </c>
      <c r="C154" s="17"/>
      <c r="D154" s="17"/>
      <c r="E154" s="17"/>
      <c r="F154" s="19" t="n">
        <f aca="false">SUMIFS(F150:F153,I150:I153,"O")</f>
        <v>58810</v>
      </c>
      <c r="G154" s="17"/>
      <c r="H154" s="17"/>
      <c r="I154" s="17"/>
      <c r="J154" s="17"/>
      <c r="K154" s="17"/>
      <c r="L154" s="17"/>
    </row>
    <row r="156" customFormat="false" ht="19.5" hidden="false" customHeight="true" outlineLevel="0" collapsed="false">
      <c r="A156" s="4" t="s">
        <v>437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</row>
    <row r="157" customFormat="false" ht="30.55" hidden="false" customHeight="false" outlineLevel="0" collapsed="false">
      <c r="A157" s="5" t="n">
        <v>103</v>
      </c>
      <c r="B157" s="6" t="s">
        <v>438</v>
      </c>
      <c r="C157" s="7" t="n">
        <v>0</v>
      </c>
      <c r="D157" s="8" t="n">
        <v>1</v>
      </c>
      <c r="E157" s="6" t="s">
        <v>439</v>
      </c>
      <c r="F157" s="9" t="n">
        <f aca="false">C157*D157</f>
        <v>0</v>
      </c>
      <c r="G157" s="10" t="s">
        <v>440</v>
      </c>
      <c r="H157" s="5" t="s">
        <v>19</v>
      </c>
      <c r="I157" s="11" t="s">
        <v>20</v>
      </c>
      <c r="J157" s="6" t="s">
        <v>441</v>
      </c>
      <c r="K157" s="5" t="s">
        <v>442</v>
      </c>
      <c r="L157" s="6" t="s">
        <v>443</v>
      </c>
    </row>
    <row r="158" customFormat="false" ht="15" hidden="false" customHeight="false" outlineLevel="0" collapsed="false">
      <c r="A158" s="5" t="n">
        <v>104</v>
      </c>
      <c r="B158" s="6" t="s">
        <v>444</v>
      </c>
      <c r="C158" s="7" t="n">
        <v>0</v>
      </c>
      <c r="D158" s="8" t="n">
        <v>1</v>
      </c>
      <c r="E158" s="6" t="s">
        <v>445</v>
      </c>
      <c r="F158" s="9" t="n">
        <f aca="false">C158*D158</f>
        <v>0</v>
      </c>
      <c r="G158" s="10" t="s">
        <v>446</v>
      </c>
      <c r="H158" s="5" t="s">
        <v>19</v>
      </c>
      <c r="I158" s="11" t="s">
        <v>20</v>
      </c>
      <c r="J158" s="6" t="s">
        <v>447</v>
      </c>
      <c r="K158" s="5" t="s">
        <v>448</v>
      </c>
      <c r="L158" s="6" t="s">
        <v>443</v>
      </c>
    </row>
    <row r="159" customFormat="false" ht="15" hidden="false" customHeight="false" outlineLevel="0" collapsed="false">
      <c r="A159" s="17"/>
      <c r="B159" s="18" t="s">
        <v>449</v>
      </c>
      <c r="C159" s="17"/>
      <c r="D159" s="17"/>
      <c r="E159" s="17"/>
      <c r="F159" s="19" t="n">
        <f aca="false">SUMIFS(F157:F158,I157:I158,"O")</f>
        <v>0</v>
      </c>
      <c r="G159" s="17"/>
      <c r="H159" s="17"/>
      <c r="I159" s="17"/>
      <c r="J159" s="17"/>
      <c r="K159" s="17"/>
      <c r="L159" s="17"/>
    </row>
    <row r="161" customFormat="false" ht="15" hidden="false" customHeight="false" outlineLevel="0" collapsed="false">
      <c r="B161" s="21" t="s">
        <v>450</v>
      </c>
    </row>
    <row r="162" customFormat="false" ht="15" hidden="false" customHeight="false" outlineLevel="0" collapsed="false">
      <c r="B162" s="22" t="s">
        <v>451</v>
      </c>
      <c r="C162" s="23"/>
      <c r="D162" s="23"/>
      <c r="E162" s="23"/>
      <c r="F162" s="24" t="n">
        <f aca="false">SUMIFS($F$6:$F$159,$H$6:$H$159,"기본",$I$6:$I$159,"O")</f>
        <v>548578</v>
      </c>
    </row>
    <row r="163" customFormat="false" ht="15" hidden="false" customHeight="false" outlineLevel="0" collapsed="false">
      <c r="B163" s="22" t="s">
        <v>452</v>
      </c>
      <c r="C163" s="23"/>
      <c r="D163" s="23"/>
      <c r="E163" s="23"/>
      <c r="F163" s="24" t="n">
        <f aca="false">SUMIFS($F$6:$F$159,$H$6:$H$159,"소모품",$I$6:$I$159,"O")</f>
        <v>165284</v>
      </c>
    </row>
    <row r="164" customFormat="false" ht="15" hidden="false" customHeight="false" outlineLevel="0" collapsed="false">
      <c r="B164" s="22" t="s">
        <v>453</v>
      </c>
      <c r="C164" s="23"/>
      <c r="D164" s="23"/>
      <c r="E164" s="23"/>
      <c r="F164" s="24" t="n">
        <f aca="false">SUMIFS($F$6:$F$159,$H$6:$H$159,"공구",$I$6:$I$159,"O")</f>
        <v>89470</v>
      </c>
    </row>
    <row r="165" customFormat="false" ht="24" hidden="false" customHeight="true" outlineLevel="0" collapsed="false">
      <c r="B165" s="25" t="s">
        <v>454</v>
      </c>
      <c r="C165" s="26"/>
      <c r="D165" s="26"/>
      <c r="E165" s="26"/>
      <c r="F165" s="27" t="n">
        <f aca="false">F162+F163+F164</f>
        <v>803332</v>
      </c>
    </row>
    <row r="166" customFormat="false" ht="15" hidden="false" customHeight="false" outlineLevel="0" collapsed="false">
      <c r="B166" s="28" t="s">
        <v>455</v>
      </c>
      <c r="E166" s="2" t="s">
        <v>456</v>
      </c>
      <c r="F166" s="29" t="n">
        <f aca="false">F20+F53+F79+F86+F92+F100+F107+F112+F118+F123+F128+F133+F138+F142+F147+F154+F159</f>
        <v>803332</v>
      </c>
    </row>
    <row r="167" customFormat="false" ht="15" hidden="false" customHeight="false" outlineLevel="0" collapsed="false">
      <c r="B167" s="28" t="s">
        <v>457</v>
      </c>
      <c r="E167" s="2" t="s">
        <v>458</v>
      </c>
      <c r="F167" s="30" t="n">
        <v>803364</v>
      </c>
    </row>
    <row r="168" customFormat="false" ht="19.4" hidden="false" customHeight="false" outlineLevel="0" collapsed="false">
      <c r="B168" s="28" t="s">
        <v>459</v>
      </c>
      <c r="E168" s="31" t="s">
        <v>460</v>
      </c>
      <c r="F168" s="32" t="n">
        <f aca="false">F165-F167</f>
        <v>-32</v>
      </c>
    </row>
    <row r="170" customFormat="false" ht="15" hidden="false" customHeight="false" outlineLevel="0" collapsed="false">
      <c r="B170" s="33" t="s">
        <v>461</v>
      </c>
    </row>
    <row r="171" customFormat="false" ht="15" hidden="false" customHeight="false" outlineLevel="0" collapsed="false">
      <c r="B171" s="34" t="s">
        <v>462</v>
      </c>
    </row>
    <row r="172" customFormat="false" ht="15" hidden="false" customHeight="false" outlineLevel="0" collapsed="false">
      <c r="B172" s="34" t="s">
        <v>463</v>
      </c>
    </row>
    <row r="173" customFormat="false" ht="15" hidden="false" customHeight="false" outlineLevel="0" collapsed="false">
      <c r="B173" s="34" t="s">
        <v>464</v>
      </c>
    </row>
    <row r="174" customFormat="false" ht="15" hidden="false" customHeight="false" outlineLevel="0" collapsed="false">
      <c r="B174" s="34" t="s">
        <v>465</v>
      </c>
    </row>
    <row r="175" customFormat="false" ht="15" hidden="false" customHeight="false" outlineLevel="0" collapsed="false">
      <c r="B175" s="34" t="s">
        <v>466</v>
      </c>
    </row>
  </sheetData>
  <mergeCells count="17">
    <mergeCell ref="A6:L6"/>
    <mergeCell ref="A22:L22"/>
    <mergeCell ref="A55:L55"/>
    <mergeCell ref="A81:L81"/>
    <mergeCell ref="A88:L88"/>
    <mergeCell ref="A94:L94"/>
    <mergeCell ref="A102:L102"/>
    <mergeCell ref="A109:L109"/>
    <mergeCell ref="A114:L114"/>
    <mergeCell ref="A120:L120"/>
    <mergeCell ref="A125:L125"/>
    <mergeCell ref="A130:L130"/>
    <mergeCell ref="A135:L135"/>
    <mergeCell ref="A140:L140"/>
    <mergeCell ref="A144:L144"/>
    <mergeCell ref="A149:L149"/>
    <mergeCell ref="A156:L156"/>
  </mergeCells>
  <conditionalFormatting sqref="A6:L159">
    <cfRule type="expression" priority="2" aboveAverage="0" equalAverage="0" bottom="0" percent="0" rank="0" text="" dxfId="0">
      <formula>$I6="X"</formula>
    </cfRule>
  </conditionalFormatting>
  <dataValidations count="1">
    <dataValidation allowBlank="false" error="O 또는 X만 입력" errorStyle="stop" errorTitle="구매 여부" operator="between" showDropDown="false" showErrorMessage="true" showInputMessage="false" sqref="I7:I19 I23:I52 I56:I78 I82:I85 I89:I91 I95:I99 I103:I106 I110:I111 I115:I117 I121:I122 I126:I127 I131:I132 I136:I137 I141 I145:I146 I150:I153 I157:I158" type="list">
      <formula1>"O,X"</formula1>
      <formula2>0</formula2>
    </dataValidation>
  </dataValidations>
  <hyperlinks>
    <hyperlink ref="G7" r:id="rId1" display="https://www.icbanq.com/P016286897"/>
    <hyperlink ref="G8" r:id="rId2" display="https://www.icbanq.com/P018076669"/>
    <hyperlink ref="G9" r:id="rId3" display="https://www.icbanq.com/P015976209"/>
    <hyperlink ref="G10" r:id="rId4" display="https://www.icbanq.com/P014968846"/>
    <hyperlink ref="G11" r:id="rId5" display="https://www.icbanq.com/P014161879"/>
    <hyperlink ref="G12" r:id="rId6" display="https://www.icbanq.com/P005666127"/>
    <hyperlink ref="G13" r:id="rId7" display="https://www.icbanq.com/P004711396"/>
    <hyperlink ref="G14" r:id="rId8" display="https://www.icbanq.com/P017179248"/>
    <hyperlink ref="G15" r:id="rId9" display="https://www.icbanq.com/P014159115"/>
    <hyperlink ref="G16" r:id="rId10" display="https://www.icbanq.com/P017179277"/>
    <hyperlink ref="G17" r:id="rId11" display="https://www.icbanq.com/P017179502"/>
    <hyperlink ref="G18" r:id="rId12" display="https://www.icbanq.com/P015309984"/>
    <hyperlink ref="G23" r:id="rId13" display="https://www.eleparts.co.kr/goods/view?no=16628292"/>
    <hyperlink ref="G24" r:id="rId14" display="https://www.eleparts.co.kr/goods/view?no=67811"/>
    <hyperlink ref="G25" r:id="rId15" display="https://www.eleparts.co.kr/goods/view?no=10911"/>
    <hyperlink ref="G26" r:id="rId16" display="https://www.eleparts.co.kr/goods/view?no=10951"/>
    <hyperlink ref="G27" r:id="rId17" display="https://www.eleparts.co.kr/goods/view?no=10993"/>
    <hyperlink ref="G28" r:id="rId18" display="https://www.eleparts.co.kr/goods/view?no=10873"/>
    <hyperlink ref="G29" r:id="rId19" display="https://www.eleparts.co.kr/goods/view?no=11043038"/>
    <hyperlink ref="G30" r:id="rId20" display="https://www.eleparts.co.kr/goods/view?no=32569"/>
    <hyperlink ref="G31" r:id="rId21" display="https://www.eleparts.co.kr/goods/view?no=3237821"/>
    <hyperlink ref="G32" r:id="rId22" display="https://www.eleparts.co.kr/goods/view?no=12766820"/>
    <hyperlink ref="G33" r:id="rId23" display="https://www.eleparts.co.kr/goods/view?no=12779720"/>
    <hyperlink ref="G34" r:id="rId24" display="https://www.eleparts.co.kr/goods/view?no=12779721"/>
    <hyperlink ref="G35" r:id="rId25" display="https://www.eleparts.co.kr/goods/view?no=4313490"/>
    <hyperlink ref="G36" r:id="rId26" display="https://www.eleparts.co.kr/goods/view?no=425"/>
    <hyperlink ref="G37" r:id="rId27" display="https://www.eleparts.co.kr/goods/view?no=425"/>
    <hyperlink ref="G38" r:id="rId28" display="https://www.eleparts.co.kr/goods/view?no=8170311"/>
    <hyperlink ref="G39" r:id="rId29" display="https://www.eleparts.co.kr/goods/view?no=557"/>
    <hyperlink ref="G40" r:id="rId30" display="https://www.eleparts.co.kr/goods/view?no=9100003"/>
    <hyperlink ref="G41" r:id="rId31" display="https://www.eleparts.co.kr/goods/view?no=18388615"/>
    <hyperlink ref="G42" r:id="rId32" display="https://www.eleparts.co.kr/goods/view?no=2925673"/>
    <hyperlink ref="G43" r:id="rId33" display="https://www.eleparts.co.kr/goods/view?no=17806172"/>
    <hyperlink ref="G44" r:id="rId34" display="https://www.eleparts.co.kr/goods/view?no=17806170"/>
    <hyperlink ref="G45" r:id="rId35" display="https://www.eleparts.co.kr/goods/view?no=17358965"/>
    <hyperlink ref="G46" r:id="rId36" display="https://www.eleparts.co.kr/goods/view?no=17897439"/>
    <hyperlink ref="G47" r:id="rId37" display="https://www.eleparts.co.kr/goods/view?no=12755646"/>
    <hyperlink ref="G48" r:id="rId38" display="https://www.eleparts.co.kr/goods/view?no=6779159"/>
    <hyperlink ref="G49" r:id="rId39" display="https://www.eleparts.co.kr/goods/view?no=3787704"/>
    <hyperlink ref="G50" r:id="rId40" display="https://www.eleparts.co.kr/goods/view?no=7663472"/>
    <hyperlink ref="G51" r:id="rId41" display="https://www.eleparts.co.kr/goods/view?no=16549359"/>
    <hyperlink ref="G56" r:id="rId42" display="https://www.11st.co.kr/products/1565354988"/>
    <hyperlink ref="G57" r:id="rId43" display="https://www.11st.co.kr/products/2325598213"/>
    <hyperlink ref="G58" r:id="rId44" display="https://www.11st.co.kr/products/7591566666"/>
    <hyperlink ref="G59" r:id="rId45" display="https://www.11st.co.kr/products/8517880969"/>
    <hyperlink ref="G60" r:id="rId46" display="https://www.11st.co.kr/products/4236198413"/>
    <hyperlink ref="G61" r:id="rId47" display="https://www.11st.co.kr/products/4236198413"/>
    <hyperlink ref="G62" r:id="rId48" display="https://www.11st.co.kr/products/4236198413"/>
    <hyperlink ref="G63" r:id="rId49" display="https://www.11st.co.kr/products/4236198413"/>
    <hyperlink ref="G64" r:id="rId50" display="https://www.11st.co.kr/products/4236198413"/>
    <hyperlink ref="G65" r:id="rId51" display="https://www.11st.co.kr/products/4236198413"/>
    <hyperlink ref="G66" r:id="rId52" display="https://www.11st.co.kr/products/4353471537"/>
    <hyperlink ref="G67" r:id="rId53" display="https://www.11st.co.kr/products/4353471537"/>
    <hyperlink ref="G68" r:id="rId54" display="https://www.11st.co.kr/products/4353471537"/>
    <hyperlink ref="G69" r:id="rId55" display="https://www.11st.co.kr/products/4353471537"/>
    <hyperlink ref="G70" r:id="rId56" display="https://www.11st.co.kr/products/9579455646"/>
    <hyperlink ref="G71" r:id="rId57" display="https://www.11st.co.kr/products/1874655675"/>
    <hyperlink ref="G72" r:id="rId58" display="https://www.11st.co.kr/products/4236198413"/>
    <hyperlink ref="G73" r:id="rId59" display="https://www.11st.co.kr/products/4236198413"/>
    <hyperlink ref="G82" r:id="rId60" display="https://www.mechasolution.com/goods/goods_view.php?goodsNo=605179"/>
    <hyperlink ref="G83" r:id="rId61" display="https://www.mechasolution.com/goods/goods_view.php?goodsNo=540645"/>
    <hyperlink ref="G84" r:id="rId62" display="https://www.mechasolution.com/goods/goods_view.php?goodsNo=329798"/>
    <hyperlink ref="G89" r:id="rId63" display="https://parts-parts.co.kr/product/detail.html?product_no=2383"/>
    <hyperlink ref="G90" r:id="rId64" display="https://parts-parts.co.kr/product/detail.html?product_no=303"/>
    <hyperlink ref="G95" r:id="rId65" display="https://kr.store.bambulab.com/products/petg-basic"/>
    <hyperlink ref="G96" r:id="rId66" display="https://kr.store.bambulab.com/products/petg-basic"/>
    <hyperlink ref="G97" r:id="rId67" display="https://kr.store.bambulab.com/products/petg-basic"/>
    <hyperlink ref="G98" r:id="rId68" display="https://kr.store.bambulab.com/products/petg-basic"/>
    <hyperlink ref="G103" r:id="rId69" display="https://prod.danawa.com/info/?pcode=20358155"/>
    <hyperlink ref="G104" r:id="rId70" display="https://prod.danawa.com/info/?pcode=29865749"/>
    <hyperlink ref="G105" r:id="rId71" display="https://prod.danawa.com/info/?pcode=59074565"/>
    <hyperlink ref="G110" r:id="rId72" display="https://namugongjang.com/product/detail.html?product_no=1378"/>
    <hyperlink ref="G111" r:id="rId73" display="https://namugongjang.com/product/detail.html?product_no=1378"/>
    <hyperlink ref="G115" r:id="rId74" display="https://dgmagnet.com/product/%EC%B4%88%EA%B0%95%EB%A0%A5-%EB%84%A4%EC%98%A4%EB%94%94%EC%9B%80-%EC%9B%90%ED%98%95%EC%9E%90%EC%84%9D-5mm/13/"/>
    <hyperlink ref="G116" r:id="rId75" display="https://dgmagnet.com/product/detail.html?product_no=17"/>
    <hyperlink ref="G121" r:id="rId76" display="https://www.rcbank.co.kr/shop/goods/goods_view.php?goodsno=29812"/>
    <hyperlink ref="G126" r:id="rId77" display="https://www.metaldiy.com/item/itemView.do?itemId=8806379117286"/>
    <hyperlink ref="G131" r:id="rId78" display="https://studiobunt.com/product/detail.html?product_no=2948"/>
    <hyperlink ref="G136" r:id="rId79" display="https://pianomoa.com/product/%EB%93%80%EB%A1%9C-%ED%94%BC%EC%95%84%EB%85%B8-%ED%8E%98%EB%8B%AC-%EC%84%9C%EC%8A%A4%ED%85%8C%EC%9D%B8-%EC%A0%84%EA%B8%B0%EC%A2%85%ED%98%B8%ED%99%98%EA%B0%80%EB%8A%A5-%EC%A0%84%EC%9E%90%ED%82%A4%EB%B3%B4%EB%93%9C-%EB%94%94%EC%A7%80%ED%84%B8-%ED%94%BC%EC%95%84%EB%85%B8-%EB%8C%90%ED%8D%BC/4117/"/>
    <hyperlink ref="G141" r:id="rId80" display="https://www.apple.com/kr/shop/product/mw2q3kh/a"/>
    <hyperlink ref="G145" r:id="rId81" display="https://ko.aliexpress.com/item/1005004333402862.html"/>
    <hyperlink ref="G146" r:id="rId82" display="https://ko.aliexpress.com/item/1005012184121268.html"/>
    <hyperlink ref="G150" r:id="rId83" display="https://pine64.com/product/pinecil-smart-mini-portable-soldering-iron/"/>
    <hyperlink ref="G151" r:id="rId84" display="https://pine64.com/product/pinecil-portable-mini-stand/"/>
    <hyperlink ref="G152" r:id="rId85" display="https://pine64.com/product/usb-type-c-to-usb-type-c-silicone-power-charging-cable-1-meter-length/"/>
    <hyperlink ref="G157" r:id="rId86" display="https://www.fluidsynth.org/"/>
    <hyperlink ref="G158" r:id="rId87" display="https://freepats.zenvoid.org/Piano/acoustic-grand-piano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4" min="4" style="0" width="16"/>
    <col collapsed="false" customWidth="true" hidden="false" outlineLevel="0" max="5" min="5" style="0" width="9"/>
  </cols>
  <sheetData>
    <row r="1" customFormat="false" ht="15" hidden="false" customHeight="false" outlineLevel="0" collapsed="false">
      <c r="A1" s="35" t="s">
        <v>3</v>
      </c>
      <c r="B1" s="35" t="s">
        <v>467</v>
      </c>
      <c r="C1" s="35" t="s">
        <v>468</v>
      </c>
      <c r="D1" s="35" t="s">
        <v>469</v>
      </c>
      <c r="E1" s="35" t="s">
        <v>470</v>
      </c>
    </row>
    <row r="2" customFormat="false" ht="15" hidden="false" customHeight="false" outlineLevel="0" collapsed="false">
      <c r="A2" s="36" t="n">
        <v>1</v>
      </c>
      <c r="B2" s="36" t="s">
        <v>21</v>
      </c>
      <c r="C2" s="37" t="n">
        <f aca="false">COUNTIFS(구매목록!I7:I19,"O",구매목록!E7:E19,"&lt;&gt;배송비")</f>
        <v>12</v>
      </c>
      <c r="D2" s="38" t="n">
        <f aca="false">구매목록!F20</f>
        <v>233073</v>
      </c>
      <c r="E2" s="39" t="n">
        <f aca="false">IF(구매목록!F165=0,0,D2/구매목록!F165)</f>
        <v>0.290132846693521</v>
      </c>
    </row>
    <row r="3" customFormat="false" ht="15" hidden="false" customHeight="false" outlineLevel="0" collapsed="false">
      <c r="A3" s="36" t="n">
        <v>2</v>
      </c>
      <c r="B3" s="36" t="s">
        <v>82</v>
      </c>
      <c r="C3" s="37" t="n">
        <f aca="false">COUNTIFS(구매목록!I23:I52,"O",구매목록!E23:E52,"&lt;&gt;배송비")</f>
        <v>29</v>
      </c>
      <c r="D3" s="38" t="n">
        <f aca="false">구매목록!F53</f>
        <v>110093</v>
      </c>
      <c r="E3" s="39" t="n">
        <f aca="false">IF(구매목록!F165=0,0,D3/구매목록!F165)</f>
        <v>0.137045455677105</v>
      </c>
    </row>
    <row r="4" customFormat="false" ht="15" hidden="false" customHeight="false" outlineLevel="0" collapsed="false">
      <c r="A4" s="36" t="n">
        <v>3</v>
      </c>
      <c r="B4" s="36" t="s">
        <v>471</v>
      </c>
      <c r="C4" s="37" t="n">
        <f aca="false">COUNTIFS(구매목록!I56:I78,"O",구매목록!E56:E78,"&lt;&gt;배송비")</f>
        <v>18</v>
      </c>
      <c r="D4" s="38" t="n">
        <f aca="false">구매목록!F79</f>
        <v>74150</v>
      </c>
      <c r="E4" s="39" t="n">
        <f aca="false">IF(구매목록!F165=0,0,D4/구매목록!F165)</f>
        <v>0.0923030577644112</v>
      </c>
    </row>
    <row r="5" customFormat="false" ht="15" hidden="false" customHeight="false" outlineLevel="0" collapsed="false">
      <c r="A5" s="36" t="n">
        <v>4</v>
      </c>
      <c r="B5" s="36" t="s">
        <v>278</v>
      </c>
      <c r="C5" s="37" t="n">
        <f aca="false">COUNTIFS(구매목록!I82:I85,"O",구매목록!E82:E85,"&lt;&gt;배송비")</f>
        <v>3</v>
      </c>
      <c r="D5" s="38" t="n">
        <f aca="false">구매목록!F86</f>
        <v>12960</v>
      </c>
      <c r="E5" s="39" t="n">
        <f aca="false">IF(구매목록!F165=0,0,D5/구매목록!F165)</f>
        <v>0.0161328068594305</v>
      </c>
    </row>
    <row r="6" customFormat="false" ht="15" hidden="false" customHeight="false" outlineLevel="0" collapsed="false">
      <c r="A6" s="36" t="n">
        <v>5</v>
      </c>
      <c r="B6" s="36" t="s">
        <v>472</v>
      </c>
      <c r="C6" s="37" t="n">
        <f aca="false">COUNTIFS(구매목록!I89:I91,"O",구매목록!E89:E91,"&lt;&gt;배송비")</f>
        <v>2</v>
      </c>
      <c r="D6" s="38" t="n">
        <f aca="false">구매목록!F92</f>
        <v>32900</v>
      </c>
      <c r="E6" s="39" t="n">
        <f aca="false">IF(구매목록!F165=0,0,D6/구매목록!F165)</f>
        <v>0.0409544248206221</v>
      </c>
    </row>
    <row r="7" customFormat="false" ht="15" hidden="false" customHeight="false" outlineLevel="0" collapsed="false">
      <c r="A7" s="36" t="n">
        <v>6</v>
      </c>
      <c r="B7" s="36" t="s">
        <v>473</v>
      </c>
      <c r="C7" s="37" t="n">
        <f aca="false">COUNTIFS(구매목록!I95:I99,"O",구매목록!E95:E99,"&lt;&gt;배송비")</f>
        <v>4</v>
      </c>
      <c r="D7" s="38" t="n">
        <f aca="false">구매목록!F100</f>
        <v>93500</v>
      </c>
      <c r="E7" s="39" t="n">
        <f aca="false">IF(구매목록!F165=0,0,D7/구매목록!F165)</f>
        <v>0.116390234672589</v>
      </c>
    </row>
    <row r="8" customFormat="false" ht="15" hidden="false" customHeight="false" outlineLevel="0" collapsed="false">
      <c r="A8" s="36" t="n">
        <v>7</v>
      </c>
      <c r="B8" s="36" t="s">
        <v>474</v>
      </c>
      <c r="C8" s="37" t="n">
        <f aca="false">COUNTIFS(구매목록!I103:I106,"O",구매목록!E103:E106,"&lt;&gt;배송비")</f>
        <v>3</v>
      </c>
      <c r="D8" s="38" t="n">
        <f aca="false">구매목록!F107</f>
        <v>68990</v>
      </c>
      <c r="E8" s="39" t="n">
        <f aca="false">IF(구매목록!F165=0,0,D8/구매목록!F165)</f>
        <v>0.0858798105888972</v>
      </c>
    </row>
    <row r="9" customFormat="false" ht="15" hidden="false" customHeight="false" outlineLevel="0" collapsed="false">
      <c r="A9" s="36" t="n">
        <v>8</v>
      </c>
      <c r="B9" s="36" t="s">
        <v>346</v>
      </c>
      <c r="C9" s="37" t="n">
        <f aca="false">COUNTIFS(구매목록!I110:I111,"O",구매목록!E110:E111,"&lt;&gt;배송비")</f>
        <v>2</v>
      </c>
      <c r="D9" s="38" t="n">
        <f aca="false">구매목록!F112</f>
        <v>40200</v>
      </c>
      <c r="E9" s="39" t="n">
        <f aca="false">IF(구매목록!F165=0,0,D9/구매목록!F165)</f>
        <v>0.0500415768324927</v>
      </c>
    </row>
    <row r="10" customFormat="false" ht="15" hidden="false" customHeight="false" outlineLevel="0" collapsed="false">
      <c r="A10" s="36" t="n">
        <v>9</v>
      </c>
      <c r="B10" s="36" t="s">
        <v>358</v>
      </c>
      <c r="C10" s="37" t="n">
        <f aca="false">COUNTIFS(구매목록!I115:I117,"O",구매목록!E115:E117,"&lt;&gt;배송비")</f>
        <v>2</v>
      </c>
      <c r="D10" s="38" t="n">
        <f aca="false">구매목록!F118</f>
        <v>12740</v>
      </c>
      <c r="E10" s="39" t="n">
        <f aca="false">IF(구매목록!F165=0,0,D10/구매목록!F165)</f>
        <v>0.0158589474837303</v>
      </c>
    </row>
    <row r="11" customFormat="false" ht="15" hidden="false" customHeight="false" outlineLevel="0" collapsed="false">
      <c r="A11" s="36" t="n">
        <v>10</v>
      </c>
      <c r="B11" s="36" t="s">
        <v>371</v>
      </c>
      <c r="C11" s="37" t="n">
        <f aca="false">COUNTIFS(구매목록!I121:I122,"O",구매목록!E121:E122,"&lt;&gt;배송비")</f>
        <v>1</v>
      </c>
      <c r="D11" s="38" t="n">
        <f aca="false">구매목록!F123</f>
        <v>9500</v>
      </c>
      <c r="E11" s="39" t="n">
        <f aca="false">IF(구매목록!F165=0,0,D11/구매목록!F165)</f>
        <v>0.0118257457688726</v>
      </c>
    </row>
    <row r="12" customFormat="false" ht="15" hidden="false" customHeight="false" outlineLevel="0" collapsed="false">
      <c r="A12" s="36" t="n">
        <v>11</v>
      </c>
      <c r="B12" s="36" t="s">
        <v>379</v>
      </c>
      <c r="C12" s="37" t="n">
        <f aca="false">COUNTIFS(구매목록!I126:I127,"O",구매목록!E126:E127,"&lt;&gt;배송비")</f>
        <v>1</v>
      </c>
      <c r="D12" s="38" t="n">
        <f aca="false">구매목록!F128</f>
        <v>7800</v>
      </c>
      <c r="E12" s="39" t="n">
        <f aca="false">IF(구매목록!F165=0,0,D12/구매목록!F165)</f>
        <v>0.00970955968391649</v>
      </c>
    </row>
    <row r="13" customFormat="false" ht="15" hidden="false" customHeight="false" outlineLevel="0" collapsed="false">
      <c r="A13" s="36" t="n">
        <v>12</v>
      </c>
      <c r="B13" s="36" t="s">
        <v>387</v>
      </c>
      <c r="C13" s="37" t="n">
        <f aca="false">COUNTIFS(구매목록!I131:I132,"O",구매목록!E131:E132,"&lt;&gt;배송비")</f>
        <v>1</v>
      </c>
      <c r="D13" s="38" t="n">
        <f aca="false">구매목록!F133</f>
        <v>8500</v>
      </c>
      <c r="E13" s="39" t="n">
        <f aca="false">IF(구매목록!F165=0,0,D13/구매목록!F165)</f>
        <v>0.0105809304247808</v>
      </c>
    </row>
    <row r="14" customFormat="false" ht="15" hidden="false" customHeight="false" outlineLevel="0" collapsed="false">
      <c r="A14" s="36" t="n">
        <v>13</v>
      </c>
      <c r="B14" s="36" t="s">
        <v>395</v>
      </c>
      <c r="C14" s="37" t="n">
        <f aca="false">COUNTIFS(구매목록!I136:I137,"O",구매목록!E136:E137,"&lt;&gt;배송비")</f>
        <v>1</v>
      </c>
      <c r="D14" s="38" t="n">
        <f aca="false">구매목록!F138</f>
        <v>11500</v>
      </c>
      <c r="E14" s="39" t="n">
        <f aca="false">IF(구매목록!F165=0,0,D14/구매목록!F165)</f>
        <v>0.0143153764570564</v>
      </c>
    </row>
    <row r="15" customFormat="false" ht="15" hidden="false" customHeight="false" outlineLevel="0" collapsed="false">
      <c r="A15" s="36" t="n">
        <v>14</v>
      </c>
      <c r="B15" s="36" t="s">
        <v>475</v>
      </c>
      <c r="C15" s="37" t="n">
        <f aca="false">COUNTIFS(구매목록!I141,"O",구매목록!E141,"&lt;&gt;배송비")</f>
        <v>1</v>
      </c>
      <c r="D15" s="38" t="n">
        <f aca="false">구매목록!F142</f>
        <v>14900</v>
      </c>
      <c r="E15" s="39" t="n">
        <f aca="false">IF(구매목록!F165=0,0,D15/구매목록!F165)</f>
        <v>0.0185477486269687</v>
      </c>
    </row>
    <row r="16" customFormat="false" ht="15" hidden="false" customHeight="false" outlineLevel="0" collapsed="false">
      <c r="A16" s="36" t="n">
        <v>15</v>
      </c>
      <c r="B16" s="36" t="s">
        <v>476</v>
      </c>
      <c r="C16" s="37" t="n">
        <f aca="false">COUNTIFS(구매목록!I145:I146,"O",구매목록!E145:E146,"&lt;&gt;배송비")</f>
        <v>2</v>
      </c>
      <c r="D16" s="38" t="n">
        <f aca="false">구매목록!F147</f>
        <v>13716</v>
      </c>
      <c r="E16" s="39" t="n">
        <f aca="false">IF(구매목록!F165=0,0,D16/구매목록!F165)</f>
        <v>0.0170738872595639</v>
      </c>
    </row>
    <row r="17" customFormat="false" ht="15" hidden="false" customHeight="false" outlineLevel="0" collapsed="false">
      <c r="A17" s="36" t="n">
        <v>16</v>
      </c>
      <c r="B17" s="36" t="s">
        <v>477</v>
      </c>
      <c r="C17" s="37" t="n">
        <f aca="false">COUNTIFS(구매목록!I150:I153,"O",구매목록!E150:E153,"&lt;&gt;배송비")</f>
        <v>3</v>
      </c>
      <c r="D17" s="38" t="n">
        <f aca="false">구매목록!F154</f>
        <v>58810</v>
      </c>
      <c r="E17" s="39" t="n">
        <f aca="false">IF(구매목록!F165=0,0,D17/구매목록!F165)</f>
        <v>0.0732075903860421</v>
      </c>
    </row>
    <row r="18" customFormat="false" ht="15" hidden="false" customHeight="false" outlineLevel="0" collapsed="false">
      <c r="A18" s="36" t="n">
        <v>17</v>
      </c>
      <c r="B18" s="36" t="s">
        <v>478</v>
      </c>
      <c r="C18" s="37" t="n">
        <f aca="false">COUNTIFS(구매목록!I157:I158,"O",구매목록!E157:E158,"&lt;&gt;배송비")</f>
        <v>2</v>
      </c>
      <c r="D18" s="38" t="n">
        <f aca="false">구매목록!F159</f>
        <v>0</v>
      </c>
      <c r="E18" s="39" t="n">
        <f aca="false">IF(구매목록!F165=0,0,D18/구매목록!F165)</f>
        <v>0</v>
      </c>
    </row>
    <row r="19" customFormat="false" ht="15" hidden="false" customHeight="false" outlineLevel="0" collapsed="false">
      <c r="A19" s="26"/>
      <c r="B19" s="40" t="s">
        <v>454</v>
      </c>
      <c r="C19" s="40" t="n">
        <f aca="false">SUM(C2:C18)</f>
        <v>87</v>
      </c>
      <c r="D19" s="41" t="n">
        <f aca="false">SUM(D2:D18)</f>
        <v>803332</v>
      </c>
      <c r="E19" s="42" t="n">
        <f aca="false">SUM(E2:E18)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2026-09-25T13:05:56Z</dcterms:created>
  <dc:creator>openpyxl</dc:creator>
  <dc:description/>
  <dc:language>en-US</dc:language>
  <cp:lastModifiedBy/>
  <dcterms:modified xsi:type="dcterms:W3CDTF">2026-09-25T13:05:56Z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